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sse\OneDrive\桌面\Github File\IC_Design_Laboratory\HW5\"/>
    </mc:Choice>
  </mc:AlternateContent>
  <xr:revisionPtr revIDLastSave="0" documentId="13_ncr:1_{CA3692EB-D255-440B-B91D-0BDC6BA70CD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40" i="1" l="1"/>
  <c r="J1139" i="1"/>
  <c r="J1133" i="1"/>
  <c r="J1136" i="1"/>
  <c r="J1132" i="1"/>
  <c r="J1131" i="1"/>
  <c r="J1130" i="1"/>
  <c r="D1213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141" i="1"/>
  <c r="I1133" i="1"/>
  <c r="I1136" i="1"/>
  <c r="I1132" i="1"/>
  <c r="I1131" i="1"/>
  <c r="I1130" i="1"/>
  <c r="H1136" i="1"/>
  <c r="G1136" i="1"/>
  <c r="F1136" i="1"/>
  <c r="E1136" i="1"/>
  <c r="D1136" i="1"/>
  <c r="C1136" i="1"/>
  <c r="C1132" i="1"/>
  <c r="C1133" i="1" s="1"/>
  <c r="H1131" i="1"/>
  <c r="G1131" i="1"/>
  <c r="F1131" i="1"/>
  <c r="E1131" i="1"/>
  <c r="D1131" i="1"/>
  <c r="H1130" i="1"/>
  <c r="G1130" i="1"/>
  <c r="F1130" i="1"/>
  <c r="F1132" i="1" s="1"/>
  <c r="F1133" i="1" s="1"/>
  <c r="E1130" i="1"/>
  <c r="D1130" i="1"/>
  <c r="D1132" i="1" s="1"/>
  <c r="D1133" i="1" s="1"/>
  <c r="H1127" i="1"/>
  <c r="G1127" i="1"/>
  <c r="F1127" i="1"/>
  <c r="E1127" i="1"/>
  <c r="D1127" i="1"/>
  <c r="C1127" i="1"/>
  <c r="F1123" i="1"/>
  <c r="F1124" i="1" s="1"/>
  <c r="C1123" i="1"/>
  <c r="H1122" i="1"/>
  <c r="G1122" i="1"/>
  <c r="F1122" i="1"/>
  <c r="E1122" i="1"/>
  <c r="D1122" i="1"/>
  <c r="H1121" i="1"/>
  <c r="H1123" i="1" s="1"/>
  <c r="H1124" i="1" s="1"/>
  <c r="G1121" i="1"/>
  <c r="G1123" i="1" s="1"/>
  <c r="G1124" i="1" s="1"/>
  <c r="F1121" i="1"/>
  <c r="E1121" i="1"/>
  <c r="D1121" i="1"/>
  <c r="D1123" i="1" s="1"/>
  <c r="D1124" i="1" s="1"/>
  <c r="H1113" i="1"/>
  <c r="H1116" i="1"/>
  <c r="H1112" i="1"/>
  <c r="H1111" i="1"/>
  <c r="H1110" i="1"/>
  <c r="G1116" i="1"/>
  <c r="F1116" i="1"/>
  <c r="E1116" i="1"/>
  <c r="D1116" i="1"/>
  <c r="C1116" i="1"/>
  <c r="C1112" i="1"/>
  <c r="C1113" i="1" s="1"/>
  <c r="G1111" i="1"/>
  <c r="G1112" i="1" s="1"/>
  <c r="G1113" i="1" s="1"/>
  <c r="F1111" i="1"/>
  <c r="E1111" i="1"/>
  <c r="D1111" i="1"/>
  <c r="G1110" i="1"/>
  <c r="F1110" i="1"/>
  <c r="E1110" i="1"/>
  <c r="E1112" i="1" s="1"/>
  <c r="E1113" i="1" s="1"/>
  <c r="D1110" i="1"/>
  <c r="D1112" i="1" s="1"/>
  <c r="D1113" i="1" s="1"/>
  <c r="G1103" i="1"/>
  <c r="G1106" i="1"/>
  <c r="G1102" i="1"/>
  <c r="G1101" i="1"/>
  <c r="G1100" i="1"/>
  <c r="F1100" i="1"/>
  <c r="F1101" i="1"/>
  <c r="F1106" i="1"/>
  <c r="E1100" i="1"/>
  <c r="E1102" i="1" s="1"/>
  <c r="E1103" i="1" s="1"/>
  <c r="E1106" i="1"/>
  <c r="D1106" i="1"/>
  <c r="C1106" i="1"/>
  <c r="C1102" i="1"/>
  <c r="C1103" i="1" s="1"/>
  <c r="E1101" i="1"/>
  <c r="D1101" i="1"/>
  <c r="D1100" i="1"/>
  <c r="D1102" i="1" s="1"/>
  <c r="D1103" i="1" s="1"/>
  <c r="D1086" i="1"/>
  <c r="D1083" i="1" s="1"/>
  <c r="E1086" i="1"/>
  <c r="E1083" i="1" s="1"/>
  <c r="C1083" i="1"/>
  <c r="E1096" i="1"/>
  <c r="D1096" i="1"/>
  <c r="C1096" i="1"/>
  <c r="C1092" i="1"/>
  <c r="C1093" i="1" s="1"/>
  <c r="E1091" i="1"/>
  <c r="D1091" i="1"/>
  <c r="E1090" i="1"/>
  <c r="E1092" i="1" s="1"/>
  <c r="E1093" i="1" s="1"/>
  <c r="D1090" i="1"/>
  <c r="D1092" i="1" s="1"/>
  <c r="D1093" i="1" s="1"/>
  <c r="E1082" i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E1132" i="1" l="1"/>
  <c r="E1133" i="1" s="1"/>
  <c r="G1132" i="1"/>
  <c r="G1133" i="1" s="1"/>
  <c r="H1132" i="1"/>
  <c r="H1133" i="1" s="1"/>
  <c r="E1123" i="1"/>
  <c r="E1124" i="1" s="1"/>
  <c r="C1124" i="1"/>
  <c r="F1112" i="1"/>
  <c r="F1113" i="1" s="1"/>
  <c r="F1102" i="1"/>
  <c r="F1103" i="1" s="1"/>
  <c r="C1057" i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<sst xmlns="http://schemas.openxmlformats.org/spreadsheetml/2006/main" count="3247" uniqueCount="3166">
  <si>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</si>
  <si>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</si>
  <si>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</si>
  <si>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</si>
  <si>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</si>
  <si>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</si>
  <si>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</si>
  <si>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</si>
  <si>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</si>
  <si>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</si>
  <si>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</si>
  <si>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</si>
  <si>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</si>
  <si>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</si>
  <si>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</si>
  <si>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</si>
  <si>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</si>
  <si>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</si>
  <si>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</si>
  <si>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</si>
  <si>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</si>
  <si>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</si>
  <si>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</si>
  <si>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</si>
  <si>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</si>
  <si>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</si>
  <si>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</si>
  <si>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</si>
  <si>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</si>
  <si>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</si>
  <si>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</si>
  <si>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</si>
  <si>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</si>
  <si>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</si>
  <si>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</si>
  <si>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</si>
  <si>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</si>
  <si>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</si>
  <si>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</si>
  <si>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</si>
  <si>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</si>
  <si>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</si>
  <si>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</si>
  <si>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</si>
  <si>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</si>
  <si>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</si>
  <si>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</si>
  <si>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</si>
  <si>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</si>
  <si>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</si>
  <si>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</si>
  <si>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</si>
  <si>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</si>
  <si>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</si>
  <si>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</si>
  <si>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</si>
  <si>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</si>
  <si>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</si>
  <si>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</si>
  <si>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</si>
  <si>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</si>
  <si>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</si>
  <si>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</si>
  <si>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</si>
  <si>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</si>
  <si>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</si>
  <si>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</si>
  <si>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</si>
  <si>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</si>
  <si>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</si>
  <si>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</si>
  <si>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</si>
  <si>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</si>
  <si>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</si>
  <si>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</si>
  <si>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</si>
  <si>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</si>
  <si>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</si>
  <si>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</si>
  <si>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</si>
  <si>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</si>
  <si>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</si>
  <si>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</si>
  <si>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</si>
  <si>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</si>
  <si>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</si>
  <si>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</si>
  <si>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</si>
  <si>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</si>
  <si>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</si>
  <si>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</si>
  <si>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</si>
  <si>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</si>
  <si>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</si>
  <si>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</si>
  <si>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</si>
  <si>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</si>
  <si>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</si>
  <si>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</si>
  <si>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</si>
  <si>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</si>
  <si>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</si>
  <si>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</si>
  <si>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</si>
  <si>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</si>
  <si>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</si>
  <si>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</si>
  <si>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</si>
  <si>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</si>
  <si>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</si>
  <si>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</si>
  <si>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</si>
  <si>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</si>
  <si>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</si>
  <si>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</si>
  <si>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</si>
  <si>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</si>
  <si>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</si>
  <si>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</si>
  <si>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</si>
  <si>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</si>
  <si>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</si>
  <si>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</si>
  <si>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</si>
  <si>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</si>
  <si>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</si>
  <si>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</si>
  <si>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</si>
  <si>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</si>
  <si>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</si>
  <si>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</si>
  <si>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</si>
  <si>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</si>
  <si>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</si>
  <si>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</si>
  <si>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</si>
  <si>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</si>
  <si>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</si>
  <si>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</si>
  <si>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</si>
  <si>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</si>
  <si>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</si>
  <si>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</si>
  <si>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</si>
  <si>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</si>
  <si>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</si>
  <si>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</si>
  <si>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</si>
  <si>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</si>
  <si>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</si>
  <si>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</si>
  <si>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</si>
  <si>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</si>
  <si>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</si>
  <si>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</si>
  <si>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</si>
  <si>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</si>
  <si>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</si>
  <si>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</si>
  <si>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</si>
  <si>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</si>
  <si>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</si>
  <si>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</si>
  <si>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</si>
  <si>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</si>
  <si>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</si>
  <si>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</si>
  <si>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</si>
  <si>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</si>
  <si>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</si>
  <si>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</si>
  <si>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</si>
  <si>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</si>
  <si>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</si>
  <si>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</si>
  <si>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</si>
  <si>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</si>
  <si>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</si>
  <si>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</si>
  <si>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</si>
  <si>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</si>
  <si>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</si>
  <si>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</si>
  <si>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</si>
  <si>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</si>
  <si>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</si>
  <si>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</si>
  <si>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</si>
  <si>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</si>
  <si>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</si>
  <si>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</si>
  <si>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</si>
  <si>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</si>
  <si>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</si>
  <si>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</si>
  <si>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</si>
  <si>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</si>
  <si>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</si>
  <si>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</si>
  <si>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</si>
  <si>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</si>
  <si>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</si>
  <si>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</si>
  <si>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</si>
  <si>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</si>
  <si>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</si>
  <si>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</si>
  <si>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</si>
  <si>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</si>
  <si>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</si>
  <si>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</si>
  <si>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</si>
  <si>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</si>
  <si>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</si>
  <si>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</si>
  <si>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</si>
  <si>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</si>
  <si>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</si>
  <si>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</si>
  <si>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</si>
  <si>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</si>
  <si>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</si>
  <si>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</si>
  <si>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</si>
  <si>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</si>
  <si>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</si>
  <si>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</si>
  <si>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</si>
  <si>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</si>
  <si>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</si>
  <si>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</si>
  <si>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</si>
  <si>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</si>
  <si>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</si>
  <si>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</si>
  <si>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</si>
  <si>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</si>
  <si>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</si>
  <si>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</si>
  <si>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</si>
  <si>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</si>
  <si>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</si>
  <si>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</si>
  <si>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</si>
  <si>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</si>
  <si>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</si>
  <si>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</si>
  <si>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</si>
  <si>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</si>
  <si>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</si>
  <si>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</si>
  <si>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</si>
  <si>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</si>
  <si>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</si>
  <si>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</si>
  <si>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</si>
  <si>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</si>
  <si>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</si>
  <si>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</si>
  <si>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</si>
  <si>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</si>
  <si>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</si>
  <si>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</si>
  <si>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</si>
  <si>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</si>
  <si>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</si>
  <si>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</si>
  <si>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</si>
  <si>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</si>
  <si>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</si>
  <si>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</si>
  <si>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</si>
  <si>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</si>
  <si>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</si>
  <si>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</si>
  <si>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</si>
  <si>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</si>
  <si>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</si>
  <si>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</si>
  <si>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</si>
  <si>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</si>
  <si>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</si>
  <si>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</si>
  <si>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</si>
  <si>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</si>
  <si>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</si>
  <si>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</si>
  <si>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</si>
  <si>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</si>
  <si>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</si>
  <si>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</si>
  <si>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</si>
  <si>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</si>
  <si>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</si>
  <si>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</si>
  <si>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</si>
  <si>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</si>
  <si>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</si>
  <si>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</si>
  <si>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</si>
  <si>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</si>
  <si>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</si>
  <si>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</si>
  <si>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</si>
  <si>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</si>
  <si>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</si>
  <si>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</si>
  <si>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</si>
  <si>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</si>
  <si>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</si>
  <si>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</si>
  <si>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</si>
  <si>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</si>
  <si>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</si>
  <si>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</si>
  <si>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</si>
  <si>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</si>
  <si>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</si>
  <si>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</si>
  <si>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</si>
  <si>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</si>
  <si>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</si>
  <si>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</si>
  <si>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</si>
  <si>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</si>
  <si>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</si>
  <si>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</si>
  <si>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</si>
  <si>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</si>
  <si>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</si>
  <si>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</si>
  <si>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</si>
  <si>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</si>
  <si>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</si>
  <si>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</si>
  <si>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</si>
  <si>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</si>
  <si>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</si>
  <si>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</si>
  <si>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</si>
  <si>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</si>
  <si>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</si>
  <si>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</si>
  <si>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</si>
  <si>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</si>
  <si>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</si>
  <si>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</si>
  <si>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</si>
  <si>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</si>
  <si>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</si>
  <si>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</si>
  <si>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</si>
  <si>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</si>
  <si>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</si>
  <si>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</si>
  <si>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</si>
  <si>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</si>
  <si>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</si>
  <si>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</si>
  <si>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</si>
  <si>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</si>
  <si>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</si>
  <si>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</si>
  <si>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</si>
  <si>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</si>
  <si>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</si>
  <si>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</si>
  <si>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</si>
  <si>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</si>
  <si>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</si>
  <si>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</si>
  <si>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</si>
  <si>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</si>
  <si>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</si>
  <si>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</si>
  <si>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</si>
  <si>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</si>
  <si>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</si>
  <si>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</si>
  <si>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</si>
  <si>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</si>
  <si>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</si>
  <si>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</si>
  <si>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</si>
  <si>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</si>
  <si>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</si>
  <si>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</si>
  <si>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</si>
  <si>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</si>
  <si>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</si>
  <si>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</si>
  <si>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</si>
  <si>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</si>
  <si>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</si>
  <si>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</si>
  <si>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</si>
  <si>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</si>
  <si>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</si>
  <si>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</si>
  <si>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</si>
  <si>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</si>
  <si>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</si>
  <si>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</si>
  <si>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</si>
  <si>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</si>
  <si>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</si>
  <si>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</si>
  <si>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</si>
  <si>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</si>
  <si>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</si>
  <si>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</si>
  <si>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</si>
  <si>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</si>
  <si>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</si>
  <si>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</si>
  <si>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</si>
  <si>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</si>
  <si>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</si>
  <si>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</si>
  <si>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</si>
  <si>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</si>
  <si>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</si>
  <si>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</si>
  <si>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</si>
  <si>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</si>
  <si>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</si>
  <si>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</si>
  <si>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</si>
  <si>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</si>
  <si>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</si>
  <si>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</si>
  <si>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</si>
  <si>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</si>
  <si>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</si>
  <si>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</si>
  <si>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</si>
  <si>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</si>
  <si>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</si>
  <si>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</si>
  <si>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</si>
  <si>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</si>
  <si>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</si>
  <si>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</si>
  <si>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</si>
  <si>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</si>
  <si>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</si>
  <si>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</si>
  <si>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</si>
  <si>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</si>
  <si>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</si>
  <si>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</si>
  <si>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</si>
  <si>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</si>
  <si>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</si>
  <si>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</si>
  <si>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</si>
  <si>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</si>
  <si>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</si>
  <si>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</si>
  <si>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</si>
  <si>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</si>
  <si>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</si>
  <si>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</si>
  <si>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</si>
  <si>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</si>
  <si>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</si>
  <si>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</si>
  <si>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</si>
  <si>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</si>
  <si>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</si>
  <si>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</si>
  <si>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</si>
  <si>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</si>
  <si>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</si>
  <si>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</si>
  <si>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</si>
  <si>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</si>
  <si>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</si>
  <si>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</si>
  <si>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</si>
  <si>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</si>
  <si>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</si>
  <si>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</si>
  <si>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</si>
  <si>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</si>
  <si>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</si>
  <si>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</si>
  <si>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</si>
  <si>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</si>
  <si>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</si>
  <si>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</si>
  <si>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</si>
  <si>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</si>
  <si>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</si>
  <si>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</si>
  <si>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</si>
  <si>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</si>
  <si>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</si>
  <si>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</si>
  <si>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</si>
  <si>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</si>
  <si>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</si>
  <si>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</si>
  <si>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</si>
  <si>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</si>
  <si>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</si>
  <si>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</si>
  <si>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</si>
  <si>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</si>
  <si>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</si>
  <si>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</si>
  <si>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</si>
  <si>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</si>
  <si>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</si>
  <si>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</si>
  <si>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</si>
  <si>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</si>
  <si>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</si>
  <si>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</si>
  <si>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</si>
  <si>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</si>
  <si>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</si>
  <si>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</si>
  <si>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</si>
  <si>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</si>
  <si>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</si>
  <si>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</si>
  <si>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</si>
  <si>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</si>
  <si>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</si>
  <si>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</si>
  <si>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</si>
  <si>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</si>
  <si>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</si>
  <si>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</si>
  <si>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</si>
  <si>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</si>
  <si>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</si>
  <si>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</si>
  <si>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</si>
  <si>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</si>
  <si>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</si>
  <si>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</si>
  <si>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</si>
  <si>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</si>
  <si>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</si>
  <si>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</si>
  <si>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</si>
  <si>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</si>
  <si>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</si>
  <si>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</si>
  <si>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</si>
  <si>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</si>
  <si>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</si>
  <si>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</si>
  <si>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</si>
  <si>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</si>
  <si>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</si>
  <si>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</si>
  <si>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</si>
  <si>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</si>
  <si>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</si>
  <si>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</si>
  <si>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</si>
  <si>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</si>
  <si>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</si>
  <si>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</si>
  <si>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</si>
  <si>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</si>
  <si>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</si>
  <si>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</si>
  <si>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</si>
  <si>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</si>
  <si>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</si>
  <si>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</si>
  <si>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</si>
  <si>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</si>
  <si>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</si>
  <si>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</si>
  <si>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</si>
  <si>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</si>
  <si>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</si>
  <si>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</si>
  <si>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</si>
  <si>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</si>
  <si>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</si>
  <si>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</si>
  <si>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</si>
  <si>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</si>
  <si>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</si>
  <si>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</si>
  <si>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</si>
  <si>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</si>
  <si>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</si>
  <si>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</si>
  <si>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</si>
  <si>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</si>
  <si>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</si>
  <si>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</si>
  <si>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</si>
  <si>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</si>
  <si>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</si>
  <si>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</si>
  <si>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</si>
  <si>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</si>
  <si>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</si>
  <si>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</si>
  <si>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</si>
  <si>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</si>
  <si>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</si>
  <si>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</si>
  <si>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</si>
  <si>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</si>
  <si>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</si>
  <si>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</si>
  <si>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</si>
  <si>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</si>
  <si>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</si>
  <si>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</si>
  <si>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</si>
  <si>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</si>
  <si>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</si>
  <si>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</si>
  <si>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</si>
  <si>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</si>
  <si>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</si>
  <si>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</si>
  <si>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</si>
  <si>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</si>
  <si>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</si>
  <si>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</si>
  <si>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</si>
  <si>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</si>
  <si>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</si>
  <si>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</si>
  <si>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</si>
  <si>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</si>
  <si>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</si>
  <si>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</si>
  <si>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</si>
  <si>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</si>
  <si>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</si>
  <si>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</si>
  <si>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</si>
  <si>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</si>
  <si>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</si>
  <si>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</si>
  <si>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</si>
  <si>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</si>
  <si>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</si>
  <si>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</si>
  <si>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</si>
  <si>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</si>
  <si>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</si>
  <si>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</si>
  <si>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</si>
  <si>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</si>
  <si>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</si>
  <si>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</si>
  <si>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</si>
  <si>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</si>
  <si>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</si>
  <si>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</si>
  <si>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</si>
  <si>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</si>
  <si>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</si>
  <si>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</si>
  <si>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</si>
  <si>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</si>
  <si>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</si>
  <si>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</si>
  <si>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</si>
  <si>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</si>
  <si>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</si>
  <si>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</si>
  <si>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</si>
  <si>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</si>
  <si>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</si>
  <si>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</si>
  <si>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</si>
  <si>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</si>
  <si>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</si>
  <si>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</si>
  <si>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</si>
  <si>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</si>
  <si>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</si>
  <si>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</si>
  <si>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</si>
  <si>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</si>
  <si>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</si>
  <si>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</si>
  <si>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</si>
  <si>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</si>
  <si>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</si>
  <si>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</si>
  <si>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</si>
  <si>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</si>
  <si>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</si>
  <si>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</si>
  <si>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</si>
  <si>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</si>
  <si>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</si>
  <si>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</si>
  <si>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</si>
  <si>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</si>
  <si>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</si>
  <si>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</si>
  <si>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</si>
  <si>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</si>
  <si>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</si>
  <si>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</si>
  <si>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</si>
  <si>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</si>
  <si>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</si>
  <si>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</si>
  <si>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</si>
  <si>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</si>
  <si>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</si>
  <si>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</si>
  <si>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</si>
  <si>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</si>
  <si>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</si>
  <si>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</si>
  <si>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</si>
  <si>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</si>
  <si>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</si>
  <si>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</si>
  <si>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</si>
  <si>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</si>
  <si>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</si>
  <si>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</si>
  <si>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</si>
  <si>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</si>
  <si>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</si>
  <si>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</si>
  <si>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</si>
  <si>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</si>
  <si>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</si>
  <si>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</si>
  <si>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</si>
  <si>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</si>
  <si>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</si>
  <si>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</si>
  <si>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</si>
  <si>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</si>
  <si>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</si>
  <si>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</si>
  <si>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</si>
  <si>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</si>
  <si>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</si>
  <si>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</si>
  <si>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</si>
  <si>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</si>
  <si>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</si>
  <si>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</si>
  <si>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</si>
  <si>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</si>
  <si>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</si>
  <si>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</si>
  <si>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</si>
  <si>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</si>
  <si>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</si>
  <si>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</si>
  <si>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</si>
  <si>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</si>
  <si>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</si>
  <si>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</si>
  <si>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</si>
  <si>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</si>
  <si>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</si>
  <si>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</si>
  <si>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</si>
  <si>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</si>
  <si>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</si>
  <si>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</si>
  <si>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</si>
  <si>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</si>
  <si>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</si>
  <si>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</si>
  <si>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</si>
  <si>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</si>
  <si>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</si>
  <si>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</si>
  <si>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</si>
  <si>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</si>
  <si>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</si>
  <si>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</si>
  <si>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</si>
  <si>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</si>
  <si>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</si>
  <si>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</si>
  <si>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</si>
  <si>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</si>
  <si>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</si>
  <si>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</si>
  <si>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</si>
  <si>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</si>
  <si>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</si>
  <si>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</si>
  <si>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</si>
  <si>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</si>
  <si>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</si>
  <si>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</si>
  <si>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</si>
  <si>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</si>
  <si>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</si>
  <si>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</si>
  <si>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</si>
  <si>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</si>
  <si>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</si>
  <si>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</si>
  <si>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</si>
  <si>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</si>
  <si>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</si>
  <si>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</si>
  <si>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</si>
  <si>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</si>
  <si>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</si>
  <si>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</si>
  <si>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</si>
  <si>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</si>
  <si>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</si>
  <si>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</si>
  <si>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</si>
  <si>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</si>
  <si>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</si>
  <si>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</si>
  <si>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</si>
  <si>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</si>
  <si>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</si>
  <si>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</si>
  <si>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</si>
  <si>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</si>
  <si>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</si>
  <si>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</si>
  <si>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</si>
  <si>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</si>
  <si>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</si>
  <si>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</si>
  <si>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</si>
  <si>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</si>
  <si>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</si>
  <si>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</si>
  <si>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</si>
  <si>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</si>
  <si>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</si>
  <si>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</si>
  <si>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</si>
  <si>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</si>
  <si>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</si>
  <si>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</si>
  <si>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</si>
  <si>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</si>
  <si>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</si>
  <si>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</si>
  <si>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</si>
  <si>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</si>
  <si>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</si>
  <si>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</si>
  <si>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</si>
  <si>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</si>
  <si>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</si>
  <si>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</si>
  <si>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</si>
  <si>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</si>
  <si>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</si>
  <si>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</si>
  <si>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</si>
  <si>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</si>
  <si>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</si>
  <si>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</si>
  <si>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</si>
  <si>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</si>
  <si>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</si>
  <si>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</si>
  <si>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</si>
  <si>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</si>
  <si>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</si>
  <si>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</si>
  <si>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</si>
  <si>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</si>
  <si>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</si>
  <si>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</si>
  <si>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</si>
  <si>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</si>
  <si>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</si>
  <si>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</si>
  <si>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</si>
  <si>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</si>
  <si>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</si>
  <si>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</si>
  <si>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</si>
  <si>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</si>
  <si>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</si>
  <si>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</si>
  <si>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</si>
  <si>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</si>
  <si>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</si>
  <si>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</si>
  <si>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</si>
  <si>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</si>
  <si>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</si>
  <si>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</si>
  <si>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</si>
  <si>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</si>
  <si>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</si>
  <si>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</si>
  <si>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</si>
  <si>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</si>
  <si>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</si>
  <si>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</si>
  <si>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</si>
  <si>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</si>
  <si>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</si>
  <si>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</si>
  <si>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</si>
  <si>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</si>
  <si>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</si>
  <si>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</si>
  <si>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</si>
  <si>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</si>
  <si>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</si>
  <si>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</si>
  <si>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</si>
  <si>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</si>
  <si>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</si>
  <si>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</si>
  <si>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</si>
  <si>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</si>
  <si>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</si>
  <si>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</si>
  <si>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</si>
  <si>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</si>
  <si>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</si>
  <si>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</si>
  <si>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</si>
  <si>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</si>
  <si>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</si>
  <si>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</si>
  <si>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</si>
  <si>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</si>
  <si>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</si>
  <si>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</si>
  <si>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</si>
  <si>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</si>
  <si>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</si>
  <si>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</si>
  <si>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</si>
  <si>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</si>
  <si>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</si>
  <si>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</si>
  <si>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</si>
  <si>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</si>
  <si>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</si>
  <si>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</si>
  <si>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</si>
  <si>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</si>
  <si>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</si>
  <si>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</si>
  <si>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</si>
  <si>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</si>
  <si>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</si>
  <si>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</si>
  <si>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</si>
  <si>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</si>
  <si>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</si>
  <si>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</si>
  <si>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</si>
  <si>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</si>
  <si>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</si>
  <si>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</si>
  <si>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</si>
  <si>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</si>
  <si>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</si>
  <si>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</si>
  <si>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</si>
  <si>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</si>
  <si>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</si>
  <si>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</si>
  <si>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</si>
  <si>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</si>
  <si>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</si>
  <si>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</si>
  <si>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</si>
  <si>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</si>
  <si>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</si>
  <si>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</si>
  <si>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</si>
  <si>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</si>
  <si>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</si>
  <si>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</si>
  <si>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</si>
  <si>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</si>
  <si>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</si>
  <si>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</si>
  <si>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</si>
  <si>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</si>
  <si>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</si>
  <si>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</si>
  <si>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</si>
  <si>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</si>
  <si>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</si>
  <si>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</si>
  <si>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</si>
  <si>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</si>
  <si>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</si>
  <si>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</si>
  <si>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</si>
  <si>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</si>
  <si>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</si>
  <si>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</si>
  <si>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</si>
  <si>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</si>
  <si>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</si>
  <si>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</si>
  <si>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</si>
  <si>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</si>
  <si>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</si>
  <si>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</si>
  <si>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</si>
  <si>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</si>
  <si>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</si>
  <si>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</si>
  <si>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</si>
  <si>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</si>
  <si>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</si>
  <si>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</si>
  <si>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</si>
  <si>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</si>
  <si>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</si>
  <si>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</si>
  <si>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</si>
  <si>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</si>
  <si>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</si>
  <si>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</si>
  <si>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</si>
  <si>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</si>
  <si>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</si>
  <si>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</si>
  <si>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</si>
  <si>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</si>
  <si>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</si>
  <si>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</si>
  <si>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</si>
  <si>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</si>
  <si>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</si>
  <si>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</si>
  <si>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</si>
  <si>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</si>
  <si>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</si>
  <si>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</si>
  <si>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</si>
  <si>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</si>
  <si>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</si>
  <si>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</si>
  <si>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</si>
  <si>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</si>
  <si>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</si>
  <si>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</si>
  <si>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</si>
  <si>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</si>
  <si>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</si>
  <si>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</si>
  <si>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</si>
  <si>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</si>
  <si>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</si>
  <si>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</si>
  <si>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</si>
  <si>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</si>
  <si>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</si>
  <si>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</si>
  <si>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</si>
  <si>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</si>
  <si>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</si>
  <si>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</si>
  <si>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</si>
  <si>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</si>
  <si>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</si>
  <si>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</si>
  <si>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</si>
  <si>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</si>
  <si>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</si>
  <si>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</si>
  <si>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</si>
  <si>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</si>
  <si>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</si>
  <si>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</si>
  <si>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</si>
  <si>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</si>
  <si>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</si>
  <si>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</si>
  <si>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</si>
  <si>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</si>
  <si>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</si>
  <si>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</si>
  <si>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</si>
  <si>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</si>
  <si>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</si>
  <si>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</si>
  <si>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</si>
  <si>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</si>
  <si>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</si>
  <si>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</si>
  <si>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</si>
  <si>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</si>
  <si>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</si>
  <si>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</si>
  <si>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</si>
  <si>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</si>
  <si>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</si>
  <si>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</si>
  <si>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</si>
  <si>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</si>
  <si>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</si>
  <si>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</si>
  <si>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</si>
  <si>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</si>
  <si>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</si>
  <si>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</si>
  <si>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</si>
  <si>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</si>
  <si>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</si>
  <si>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</si>
  <si>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</si>
  <si>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</si>
  <si>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</si>
  <si>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</si>
  <si>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</si>
  <si>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</si>
  <si>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</si>
  <si>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</si>
  <si>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</si>
  <si>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</si>
  <si>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</si>
  <si>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</si>
  <si>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</si>
  <si>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</si>
  <si>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</si>
  <si>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</si>
  <si>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</si>
  <si>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</si>
  <si>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</si>
  <si>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</si>
  <si>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</si>
  <si>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</si>
  <si>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</si>
  <si>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</si>
  <si>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</si>
  <si>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</si>
  <si>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</si>
  <si>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</si>
  <si>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</si>
  <si>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</si>
  <si>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</si>
  <si>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</si>
  <si>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</si>
  <si>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</si>
  <si>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</si>
  <si>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</si>
  <si>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</si>
  <si>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</si>
  <si>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</si>
  <si>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</si>
  <si>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</si>
  <si>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</si>
  <si>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</si>
  <si>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</si>
  <si>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</si>
  <si>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</si>
  <si>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</si>
  <si>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</si>
  <si>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</si>
  <si>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</si>
  <si>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</si>
  <si>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</si>
  <si>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</si>
  <si>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</si>
  <si>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</si>
  <si>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</si>
  <si>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</si>
  <si>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</si>
  <si>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</si>
  <si>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</si>
  <si>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</si>
  <si>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</si>
  <si>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</si>
  <si>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</si>
  <si>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</si>
  <si>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</si>
  <si>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</si>
  <si>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</si>
  <si>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</si>
  <si>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</si>
  <si>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</si>
  <si>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</si>
  <si>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</si>
  <si>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</si>
  <si>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</si>
  <si>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</si>
  <si>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</si>
  <si>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</si>
  <si>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</si>
  <si>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</si>
  <si>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</si>
  <si>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</si>
  <si>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</si>
  <si>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</si>
  <si>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</si>
  <si>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</si>
  <si>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</si>
  <si>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</si>
  <si>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</si>
  <si>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</si>
  <si>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</si>
  <si>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</si>
  <si>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</si>
  <si>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</si>
  <si>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</si>
  <si>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</si>
  <si>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</si>
  <si>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</si>
  <si>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</si>
  <si>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</si>
  <si>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</si>
  <si>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</si>
  <si>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</si>
  <si>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</si>
  <si>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</si>
  <si>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</si>
  <si>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</si>
  <si>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</si>
  <si>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</si>
  <si>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</si>
  <si>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</si>
  <si>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</si>
  <si>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</si>
  <si>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</si>
  <si>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</si>
  <si>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</si>
  <si>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</si>
  <si>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</si>
  <si>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</si>
  <si>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</si>
  <si>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</si>
  <si>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</si>
  <si>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</si>
  <si>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</si>
  <si>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</si>
  <si>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</si>
  <si>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</si>
  <si>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</si>
  <si>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</si>
  <si>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</si>
  <si>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</si>
  <si>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</si>
  <si>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</si>
  <si>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</si>
  <si>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</si>
  <si>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</si>
  <si>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</si>
  <si>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</si>
  <si>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</si>
  <si>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</si>
  <si>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</si>
  <si>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</si>
  <si>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</si>
  <si>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</si>
  <si>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</si>
  <si>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</si>
  <si>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</si>
  <si>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</si>
  <si>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</si>
  <si>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</si>
  <si>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</si>
  <si>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</si>
  <si>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</si>
  <si>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</si>
  <si>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</si>
  <si>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</si>
  <si>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</si>
  <si>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</si>
  <si>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</si>
  <si>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</si>
  <si>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</si>
  <si>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</si>
  <si>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</si>
  <si>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</si>
  <si>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</si>
  <si>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</si>
  <si>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</si>
  <si>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</si>
  <si>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</si>
  <si>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</si>
  <si>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</si>
  <si>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</si>
  <si>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</si>
  <si>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</si>
  <si>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</si>
  <si>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</si>
  <si>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</si>
  <si>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</si>
  <si>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</si>
  <si>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</si>
  <si>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</si>
  <si>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</si>
  <si>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</si>
  <si>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</si>
  <si>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</si>
  <si>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</si>
  <si>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</si>
  <si>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</si>
  <si>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</si>
  <si>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</si>
  <si>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</si>
  <si>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</si>
  <si>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</si>
  <si>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</si>
  <si>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</si>
  <si>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</si>
  <si>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</si>
  <si>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</si>
  <si>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</si>
  <si>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</si>
  <si>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</si>
  <si>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</si>
  <si>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</si>
  <si>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</si>
  <si>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</si>
  <si>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</si>
  <si>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</si>
  <si>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</si>
  <si>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</si>
  <si>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</si>
  <si>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</si>
  <si>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</si>
  <si>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</si>
  <si>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</si>
  <si>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</si>
  <si>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</si>
  <si>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</si>
  <si>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</si>
  <si>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</si>
  <si>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</si>
  <si>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</si>
  <si>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</si>
  <si>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</si>
  <si>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</si>
  <si>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</si>
  <si>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</si>
  <si>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</si>
  <si>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</si>
  <si>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</si>
  <si>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</si>
  <si>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</si>
  <si>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</si>
  <si>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</si>
  <si>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</si>
  <si>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</si>
  <si>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</si>
  <si>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</si>
  <si>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</si>
  <si>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</si>
  <si>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</si>
  <si>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</si>
  <si>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</si>
  <si>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</si>
  <si>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</si>
  <si>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</si>
  <si>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</si>
  <si>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</si>
  <si>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</si>
  <si>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</si>
  <si>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</si>
  <si>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</si>
  <si>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</si>
  <si>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</si>
  <si>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</si>
  <si>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</si>
  <si>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</si>
  <si>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</si>
  <si>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</si>
  <si>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</si>
  <si>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</si>
  <si>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</si>
  <si>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</si>
  <si>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</si>
  <si>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</si>
  <si>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</si>
  <si>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</si>
  <si>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</si>
  <si>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</si>
  <si>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</si>
  <si>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</si>
  <si>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</si>
  <si>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</si>
  <si>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</si>
  <si>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</si>
  <si>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</si>
  <si>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</si>
  <si>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</si>
  <si>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</si>
  <si>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</si>
  <si>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</si>
  <si>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</si>
  <si>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</si>
  <si>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</si>
  <si>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</si>
  <si>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</si>
  <si>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</si>
  <si>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</si>
  <si>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</si>
  <si>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</si>
  <si>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</si>
  <si>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</si>
  <si>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</si>
  <si>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</si>
  <si>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</si>
  <si>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</si>
  <si>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</si>
  <si>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</si>
  <si>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</si>
  <si>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</si>
  <si>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</si>
  <si>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</si>
  <si>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</si>
  <si>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</si>
  <si>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</si>
  <si>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</si>
  <si>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</si>
  <si>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</si>
  <si>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</si>
  <si>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</si>
  <si>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</si>
  <si>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</si>
  <si>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</si>
  <si>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</si>
  <si>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</si>
  <si>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</si>
  <si>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</si>
  <si>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</si>
  <si>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</si>
  <si>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</si>
  <si>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</si>
  <si>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</si>
  <si>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</si>
  <si>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</si>
  <si>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</si>
  <si>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</si>
  <si>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</si>
  <si>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</si>
  <si>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</si>
  <si>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</si>
  <si>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</si>
  <si>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</si>
  <si>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</si>
  <si>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</si>
  <si>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</si>
  <si>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</si>
  <si>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</si>
  <si>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</si>
  <si>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</si>
  <si>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</si>
  <si>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</si>
  <si>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</si>
  <si>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</si>
  <si>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</si>
  <si>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</si>
  <si>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</si>
  <si>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</si>
  <si>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</si>
  <si>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</si>
  <si>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</si>
  <si>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</si>
  <si>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</si>
  <si>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</si>
  <si>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</si>
  <si>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</si>
  <si>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</si>
  <si>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</si>
  <si>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</si>
  <si>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</si>
  <si>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</si>
  <si>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</si>
  <si>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</si>
  <si>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</si>
  <si>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</si>
  <si>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</si>
  <si>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</si>
  <si>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</si>
  <si>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</si>
  <si>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</si>
  <si>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</si>
  <si>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</si>
  <si>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</si>
  <si>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</si>
  <si>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</si>
  <si>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</si>
  <si>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</si>
  <si>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</si>
  <si>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</si>
  <si>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</si>
  <si>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</si>
  <si>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</si>
  <si>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</si>
  <si>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</si>
  <si>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</si>
  <si>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</si>
  <si>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</si>
  <si>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</si>
  <si>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</si>
  <si>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</si>
  <si>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</si>
  <si>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</si>
  <si>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</si>
  <si>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</si>
  <si>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</si>
  <si>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</si>
  <si>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</si>
  <si>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</si>
  <si>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</si>
  <si>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</si>
  <si>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</si>
  <si>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</si>
  <si>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</si>
  <si>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</si>
  <si>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</si>
  <si>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</si>
  <si>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</si>
  <si>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</si>
  <si>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</si>
  <si>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</si>
  <si>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</si>
  <si>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</si>
  <si>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</si>
  <si>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</si>
  <si>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</si>
  <si>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</si>
  <si>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</si>
  <si>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</si>
  <si>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</si>
  <si>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</si>
  <si>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</si>
  <si>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</si>
  <si>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</si>
  <si>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</si>
  <si>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</si>
  <si>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</si>
  <si>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</si>
  <si>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</si>
  <si>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</si>
  <si>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</si>
  <si>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</si>
  <si>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</si>
  <si>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</si>
  <si>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</si>
  <si>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</si>
  <si>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</si>
  <si>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</si>
  <si>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</si>
  <si>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</si>
  <si>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</si>
  <si>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</si>
  <si>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</si>
  <si>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</si>
  <si>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</si>
  <si>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</si>
  <si>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</si>
  <si>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</si>
  <si>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</si>
  <si>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</si>
  <si>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</si>
  <si>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</si>
  <si>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</si>
  <si>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</si>
  <si>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</si>
  <si>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</si>
  <si>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</si>
  <si>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</si>
  <si>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</si>
  <si>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</si>
  <si>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</si>
  <si>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</si>
  <si>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</si>
  <si>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</si>
  <si>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</si>
  <si>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</si>
  <si>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</si>
  <si>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</si>
  <si>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</si>
  <si>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</si>
  <si>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</si>
  <si>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</si>
  <si>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</si>
  <si>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</si>
  <si>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</si>
  <si>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</si>
  <si>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</si>
  <si>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</si>
  <si>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</si>
  <si>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</si>
  <si>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</si>
  <si>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</si>
  <si>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</si>
  <si>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</si>
  <si>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</si>
  <si>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</si>
  <si>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</si>
  <si>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</si>
  <si>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</si>
  <si>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</si>
  <si>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</si>
  <si>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</si>
  <si>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</si>
  <si>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</si>
  <si>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</si>
  <si>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</si>
  <si>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</si>
  <si>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</si>
  <si>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</si>
  <si>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</si>
  <si>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</si>
  <si>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</si>
  <si>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</si>
  <si>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</si>
  <si>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</si>
  <si>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</si>
  <si>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</si>
  <si>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</si>
  <si>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</si>
  <si>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</si>
  <si>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</si>
  <si>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</si>
  <si>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</si>
  <si>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</si>
  <si>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</si>
  <si>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</si>
  <si>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</si>
  <si>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</si>
  <si>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</si>
  <si>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</si>
  <si>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</si>
  <si>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</si>
  <si>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</si>
  <si>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</si>
  <si>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</si>
  <si>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</si>
  <si>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</si>
  <si>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</si>
  <si>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</si>
  <si>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</si>
  <si>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</si>
  <si>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</si>
  <si>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</si>
  <si>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</si>
  <si>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</si>
  <si>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</si>
  <si>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</si>
  <si>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</si>
  <si>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</si>
  <si>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</si>
  <si>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</si>
  <si>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</si>
  <si>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</si>
  <si>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</si>
  <si>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</si>
  <si>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</si>
  <si>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</si>
  <si>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</si>
  <si>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</si>
  <si>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</si>
  <si>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</si>
  <si>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</si>
  <si>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</si>
  <si>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</si>
  <si>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</si>
  <si>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</si>
  <si>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</si>
  <si>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</si>
  <si>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</si>
  <si>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</si>
  <si>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</si>
  <si>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</si>
  <si>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</si>
  <si>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</si>
  <si>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</si>
  <si>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</si>
  <si>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</si>
  <si>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</si>
  <si>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</si>
  <si>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</si>
  <si>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</si>
  <si>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</si>
  <si>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</si>
  <si>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</si>
  <si>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</si>
  <si>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</si>
  <si>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</si>
  <si>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</si>
  <si>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</si>
  <si>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</si>
  <si>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</si>
  <si>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</si>
  <si>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</si>
  <si>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</si>
  <si>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</si>
  <si>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</si>
  <si>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</si>
  <si>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</si>
  <si>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</si>
  <si>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</si>
  <si>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</si>
  <si>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</si>
  <si>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</si>
  <si>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</si>
  <si>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</si>
  <si>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</si>
  <si>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</si>
  <si>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</si>
  <si>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</si>
  <si>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</si>
  <si>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</si>
  <si>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</si>
  <si>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</si>
  <si>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</si>
  <si>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</si>
  <si>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</si>
  <si>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</si>
  <si>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</si>
  <si>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</si>
  <si>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</si>
  <si>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</si>
  <si>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</si>
  <si>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</si>
  <si>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</si>
  <si>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</si>
  <si>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</si>
  <si>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</si>
  <si>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</si>
  <si>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</si>
  <si>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</si>
  <si>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</si>
  <si>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</si>
  <si>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</si>
  <si>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</si>
  <si>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</si>
  <si>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</si>
  <si>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</si>
  <si>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</si>
  <si>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</si>
  <si>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</si>
  <si>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</si>
  <si>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</si>
  <si>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</si>
  <si>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</si>
  <si>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</si>
  <si>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</si>
  <si>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</si>
  <si>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</si>
  <si>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</si>
  <si>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</si>
  <si>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</si>
  <si>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</si>
  <si>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</si>
  <si>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</si>
  <si>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</si>
  <si>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</si>
  <si>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</si>
  <si>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</si>
  <si>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</si>
  <si>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</si>
  <si>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</si>
  <si>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</si>
  <si>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</si>
  <si>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</si>
  <si>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</si>
  <si>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</si>
  <si>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</si>
  <si>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</si>
  <si>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</si>
  <si>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</si>
  <si>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</si>
  <si>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</si>
  <si>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</si>
  <si>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</si>
  <si>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</si>
  <si>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</si>
  <si>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</si>
  <si>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</si>
  <si>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</si>
  <si>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</si>
  <si>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</si>
  <si>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</si>
  <si>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</si>
  <si>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</si>
  <si>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</si>
  <si>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</si>
  <si>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</si>
  <si>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</si>
  <si>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</si>
  <si>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</si>
  <si>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</si>
  <si>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</si>
  <si>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</si>
  <si>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</si>
  <si>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</si>
  <si>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</si>
  <si>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</si>
  <si>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</si>
  <si>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</si>
  <si>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</si>
  <si>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</si>
  <si>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</si>
  <si>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</si>
  <si>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</si>
  <si>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</si>
  <si>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</si>
  <si>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</si>
  <si>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</si>
  <si>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</si>
  <si>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</si>
  <si>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</si>
  <si>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</si>
  <si>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</si>
  <si>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</si>
  <si>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</si>
  <si>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</si>
  <si>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</si>
  <si>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</si>
  <si>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</si>
  <si>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</si>
  <si>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</si>
  <si>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</si>
  <si>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</si>
  <si>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</si>
  <si>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</si>
  <si>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</si>
  <si>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</si>
  <si>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</si>
  <si>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</si>
  <si>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</si>
  <si>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</si>
  <si>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</si>
  <si>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</si>
  <si>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</si>
  <si>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</si>
  <si>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</si>
  <si>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</si>
  <si>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</si>
  <si>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</si>
  <si>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</si>
  <si>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</si>
  <si>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</si>
  <si>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</si>
  <si>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</si>
  <si>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</si>
  <si>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</si>
  <si>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</si>
  <si>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</si>
  <si>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</si>
  <si>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</si>
  <si>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</si>
  <si>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</si>
  <si>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</si>
  <si>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</si>
  <si>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</si>
  <si>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</si>
  <si>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</si>
  <si>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</si>
  <si>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</si>
  <si>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</si>
  <si>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</si>
  <si>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</si>
  <si>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</si>
  <si>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</si>
  <si>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</si>
  <si>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</si>
  <si>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</si>
  <si>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</si>
  <si>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</si>
  <si>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</si>
  <si>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</si>
  <si>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</si>
  <si>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</si>
  <si>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</si>
  <si>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</si>
  <si>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</si>
  <si>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</si>
  <si>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</si>
  <si>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</si>
  <si>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</si>
  <si>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</si>
  <si>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</si>
  <si>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</si>
  <si>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</si>
  <si>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</si>
  <si>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</si>
  <si>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</si>
  <si>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</si>
  <si>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</si>
  <si>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</si>
  <si>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</si>
  <si>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</si>
  <si>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</si>
  <si>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</si>
  <si>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</si>
  <si>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</si>
  <si>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</si>
  <si>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</si>
  <si>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</si>
  <si>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</si>
  <si>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</si>
  <si>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</si>
  <si>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</si>
  <si>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</si>
  <si>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</si>
  <si>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</si>
  <si>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</si>
  <si>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</si>
  <si>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</si>
  <si>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</si>
  <si>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</si>
  <si>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</si>
  <si>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</si>
  <si>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</si>
  <si>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</si>
  <si>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</si>
  <si>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</si>
  <si>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</si>
  <si>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</si>
  <si>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</si>
  <si>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</si>
  <si>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</si>
  <si>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</si>
  <si>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</si>
  <si>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</si>
  <si>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</si>
  <si>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</si>
  <si>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</si>
  <si>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</si>
  <si>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</si>
  <si>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</si>
  <si>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</si>
  <si>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</si>
  <si>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</si>
  <si>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</si>
  <si>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</si>
  <si>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</si>
  <si>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</si>
  <si>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</si>
  <si>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</si>
  <si>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</si>
  <si>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</si>
  <si>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</si>
  <si>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</si>
  <si>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</si>
  <si>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</si>
  <si>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</si>
  <si>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</si>
  <si>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</si>
  <si>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</si>
  <si>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</si>
  <si>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</si>
  <si>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</si>
  <si>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</si>
  <si>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</si>
  <si>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</si>
  <si>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</si>
  <si>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</si>
  <si>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</si>
  <si>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</si>
  <si>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</si>
  <si>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</si>
  <si>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</si>
  <si>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</si>
  <si>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</si>
  <si>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</si>
  <si>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</si>
  <si>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</si>
  <si>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</si>
  <si>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</si>
  <si>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</si>
  <si>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</si>
  <si>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</si>
  <si>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</si>
  <si>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</si>
  <si>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</si>
  <si>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</si>
  <si>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</si>
  <si>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</si>
  <si>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</si>
  <si>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</si>
  <si>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</si>
  <si>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</si>
  <si>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</si>
  <si>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</si>
  <si>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</si>
  <si>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</si>
  <si>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</si>
  <si>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</si>
  <si>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</si>
  <si>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</si>
  <si>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</si>
  <si>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</si>
  <si>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</si>
  <si>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</si>
  <si>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</si>
  <si>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</si>
  <si>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</si>
  <si>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</si>
  <si>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</si>
  <si>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</si>
  <si>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</si>
  <si>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</si>
  <si>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</si>
  <si>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</si>
  <si>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</si>
  <si>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</si>
  <si>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</si>
  <si>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</si>
  <si>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</si>
  <si>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</si>
  <si>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</si>
  <si>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</si>
  <si>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</si>
  <si>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</si>
  <si>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</si>
  <si>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</si>
  <si>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</si>
  <si>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</si>
  <si>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</si>
  <si>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</si>
  <si>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</si>
  <si>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</si>
  <si>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</si>
  <si>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</si>
  <si>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</si>
  <si>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</si>
  <si>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</si>
  <si>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</si>
  <si>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</si>
  <si>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</si>
  <si>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</si>
  <si>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</si>
  <si>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</si>
  <si>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</si>
  <si>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</si>
  <si>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</si>
  <si>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</si>
  <si>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</si>
  <si>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</si>
  <si>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</si>
  <si>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</si>
  <si>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</si>
  <si>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</si>
  <si>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</si>
  <si>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</si>
  <si>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</si>
  <si>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</si>
  <si>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</si>
  <si>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</si>
  <si>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</si>
  <si>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</si>
  <si>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</si>
  <si>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</si>
  <si>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</si>
  <si>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</si>
  <si>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</si>
  <si>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</si>
  <si>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</si>
  <si>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</si>
  <si>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</si>
  <si>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</si>
  <si>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</si>
  <si>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</si>
  <si>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</si>
  <si>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</si>
  <si>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</si>
  <si>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</si>
  <si>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</si>
  <si>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</si>
  <si>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</si>
  <si>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</si>
  <si>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</si>
  <si>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</si>
  <si>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</si>
  <si>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</si>
  <si>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</si>
  <si>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</si>
  <si>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</si>
  <si>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</si>
  <si>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</si>
  <si>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</si>
  <si>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</si>
  <si>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</si>
  <si>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</si>
  <si>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</si>
  <si>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</si>
  <si>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</si>
  <si>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</si>
  <si>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</si>
  <si>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</si>
  <si>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</si>
  <si>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</si>
  <si>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</si>
  <si>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</si>
  <si>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</si>
  <si>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</si>
  <si>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</si>
  <si>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</si>
  <si>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</si>
  <si>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</si>
  <si>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</si>
  <si>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</si>
  <si>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</si>
  <si>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</si>
  <si>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</si>
  <si>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</si>
  <si>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</si>
  <si>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</si>
  <si>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</si>
  <si>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</si>
  <si>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</si>
  <si>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</si>
  <si>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</si>
  <si>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</si>
  <si>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</si>
  <si>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</si>
  <si>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</si>
  <si>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</si>
  <si>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</si>
  <si>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</si>
  <si>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</si>
  <si>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</si>
  <si>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</si>
  <si>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</si>
  <si>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</si>
  <si>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</si>
  <si>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</si>
  <si>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</si>
  <si>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</si>
  <si>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</si>
  <si>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</si>
  <si>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</si>
  <si>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</si>
  <si>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</si>
  <si>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</si>
  <si>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</si>
  <si>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</si>
  <si>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</si>
  <si>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</si>
  <si>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</si>
  <si>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</si>
  <si>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</si>
  <si>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</si>
  <si>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</si>
  <si>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</si>
  <si>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</si>
  <si>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</si>
  <si>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</si>
  <si>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</si>
  <si>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</si>
  <si>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</si>
  <si>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</si>
  <si>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</si>
  <si>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</si>
  <si>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</si>
  <si>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</si>
  <si>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</si>
  <si>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</si>
  <si>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</si>
  <si>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</si>
  <si>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</si>
  <si>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</si>
  <si>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</si>
  <si>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</si>
  <si>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</si>
  <si>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</si>
  <si>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</si>
  <si>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</si>
  <si>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</si>
  <si>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</si>
  <si>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</si>
  <si>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</si>
  <si>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</si>
  <si>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</si>
  <si>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</si>
  <si>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</si>
  <si>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</si>
  <si>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</si>
  <si>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</si>
  <si>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</si>
  <si>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</si>
  <si>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</si>
  <si>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</si>
  <si>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</si>
  <si>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</si>
  <si>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</si>
  <si>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</si>
  <si>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</si>
  <si>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</si>
  <si>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</si>
  <si>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</si>
  <si>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</si>
  <si>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</si>
  <si>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</si>
  <si>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</si>
  <si>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</si>
  <si>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</si>
  <si>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</si>
  <si>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</si>
  <si>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</si>
  <si>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</si>
  <si>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</si>
  <si>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</si>
  <si>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</si>
  <si>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</si>
  <si>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</si>
  <si>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</si>
  <si>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</si>
  <si>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</si>
  <si>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</si>
  <si>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</si>
  <si>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</si>
  <si>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</si>
  <si>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</si>
  <si>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</si>
  <si>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</si>
  <si>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</si>
  <si>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</si>
  <si>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</si>
  <si>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</si>
  <si>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</si>
  <si>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</si>
  <si>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</si>
  <si>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</si>
  <si>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</si>
  <si>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</si>
  <si>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</si>
  <si>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</si>
  <si>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</si>
  <si>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</si>
  <si>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</si>
  <si>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</si>
  <si>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</si>
  <si>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</si>
  <si>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</si>
  <si>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</si>
  <si>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</si>
  <si>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</si>
  <si>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</si>
  <si>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</si>
  <si>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</si>
  <si>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</si>
  <si>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</si>
  <si>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</si>
  <si>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</si>
  <si>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</si>
  <si>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</si>
  <si>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</si>
  <si>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</si>
  <si>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</si>
  <si>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</si>
  <si>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</si>
  <si>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</si>
  <si>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</si>
  <si>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</si>
  <si>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</si>
  <si>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</si>
  <si>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</si>
  <si>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</si>
  <si>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</si>
  <si>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</si>
  <si>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</si>
  <si>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</si>
  <si>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</si>
  <si>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</si>
  <si>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</si>
  <si>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</si>
  <si>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</si>
  <si>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</si>
  <si>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</si>
  <si>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</si>
  <si>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</si>
  <si>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</si>
  <si>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</si>
  <si>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</si>
  <si>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</si>
  <si>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</si>
  <si>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</si>
  <si>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</si>
  <si>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</si>
  <si>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</si>
  <si>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</si>
  <si>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</si>
  <si>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</si>
  <si>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</si>
  <si>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</si>
  <si>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</si>
  <si>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</si>
  <si>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</si>
  <si>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</si>
  <si>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</si>
  <si>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</si>
  <si>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</si>
  <si>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</si>
  <si>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</si>
  <si>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</si>
  <si>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</si>
  <si>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</si>
  <si>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</si>
  <si>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</si>
  <si>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</si>
  <si>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</si>
  <si>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</si>
  <si>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</si>
  <si>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</si>
  <si>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</si>
  <si>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</si>
  <si>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</si>
  <si>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</si>
  <si>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</si>
  <si>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</si>
  <si>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</si>
  <si>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</si>
  <si>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</si>
  <si>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</si>
  <si>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</si>
  <si>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</si>
  <si>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</si>
  <si>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</si>
  <si>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</si>
  <si>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</si>
  <si>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</si>
  <si>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</si>
  <si>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</si>
  <si>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</si>
  <si>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</si>
  <si>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</si>
  <si>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</si>
  <si>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</si>
  <si>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</si>
  <si>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</si>
  <si>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</si>
  <si>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</si>
  <si>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</si>
  <si>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</si>
  <si>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</si>
  <si>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</si>
  <si>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</si>
  <si>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</si>
  <si>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</si>
  <si>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</si>
  <si>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</si>
  <si>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</si>
  <si>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</si>
  <si>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</si>
  <si>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</si>
  <si>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</si>
  <si>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</si>
  <si>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</si>
  <si>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</si>
  <si>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</si>
  <si>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</si>
  <si>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</si>
  <si>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</si>
  <si>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</si>
  <si>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</si>
  <si>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</si>
  <si>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</si>
  <si>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</si>
  <si>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</si>
  <si>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</si>
  <si>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</si>
  <si>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</si>
  <si>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</si>
  <si>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</si>
  <si>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</si>
  <si>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</si>
  <si>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</si>
  <si>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</si>
  <si>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</si>
  <si>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</si>
  <si>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</si>
  <si>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</si>
  <si>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</si>
  <si>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</si>
  <si>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</si>
  <si>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</si>
  <si>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</si>
  <si>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</si>
  <si>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</si>
  <si>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</si>
  <si>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</si>
  <si>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</si>
  <si>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</si>
  <si>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</si>
  <si>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</si>
  <si>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</si>
  <si>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</si>
  <si>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</si>
  <si>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</si>
  <si>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</si>
  <si>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</si>
  <si>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</si>
  <si>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</si>
  <si>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</si>
  <si>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</si>
  <si>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</si>
  <si>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</si>
  <si>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</si>
  <si>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</si>
  <si>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</si>
  <si>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</si>
  <si>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</si>
  <si>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</si>
  <si>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</si>
  <si>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</si>
  <si>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</si>
  <si>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</si>
  <si>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</si>
  <si>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</si>
  <si>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</si>
  <si>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</si>
  <si>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</si>
  <si>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</si>
  <si>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</si>
  <si>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</si>
  <si>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</si>
  <si>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</si>
  <si>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</si>
  <si>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</si>
  <si>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</si>
  <si>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</si>
  <si>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</si>
  <si>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</si>
  <si>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</si>
  <si>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</si>
  <si>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</si>
  <si>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</si>
  <si>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</si>
  <si>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</si>
  <si>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</si>
  <si>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</si>
  <si>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</si>
  <si>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</si>
  <si>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</si>
  <si>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</si>
  <si>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</si>
  <si>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</si>
  <si>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</si>
  <si>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</si>
  <si>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</si>
  <si>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</si>
  <si>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</si>
  <si>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</si>
  <si>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</si>
  <si>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</si>
  <si>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</si>
  <si>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</si>
  <si>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</si>
  <si>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</si>
  <si>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</si>
  <si>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</si>
  <si>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</si>
  <si>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</si>
  <si>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</si>
  <si>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</si>
  <si>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</si>
  <si>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</si>
  <si>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</si>
  <si>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</si>
  <si>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</si>
  <si>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</si>
  <si>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</si>
  <si>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</si>
  <si>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</si>
  <si>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</si>
  <si>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</si>
  <si>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</si>
  <si>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</si>
  <si>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</si>
  <si>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</si>
  <si>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</si>
  <si>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</si>
  <si>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</si>
  <si>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</si>
  <si>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</si>
  <si>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</si>
  <si>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</si>
  <si>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</si>
  <si>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</si>
  <si>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</si>
  <si>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</si>
  <si>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</si>
  <si>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</si>
  <si>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</si>
  <si>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</si>
  <si>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</si>
  <si>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</si>
  <si>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</si>
  <si>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</si>
  <si>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</si>
  <si>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</si>
  <si>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</si>
  <si>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</si>
  <si>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</si>
  <si>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</si>
  <si>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</si>
  <si>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</si>
  <si>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</si>
  <si>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</si>
  <si>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</si>
  <si>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</si>
  <si>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</si>
  <si>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</si>
  <si>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</si>
  <si>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</si>
  <si>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</si>
  <si>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</si>
  <si>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</si>
  <si>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</si>
  <si>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</si>
  <si>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</si>
  <si>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</si>
  <si>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</si>
  <si>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</si>
  <si>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</si>
  <si>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</si>
  <si>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</si>
  <si>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</si>
  <si>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</si>
  <si>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</si>
  <si>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</si>
  <si>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</si>
  <si>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</si>
  <si>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</si>
  <si>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</si>
  <si>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</si>
  <si>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</si>
  <si>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</si>
  <si>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</si>
  <si>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</si>
  <si>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</si>
  <si>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</si>
  <si>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</si>
  <si>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</si>
  <si>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</si>
  <si>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</si>
  <si>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</si>
  <si>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</si>
  <si>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</si>
  <si>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</si>
  <si>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</si>
  <si>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</si>
  <si>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</si>
  <si>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</si>
  <si>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</si>
  <si>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</si>
  <si>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</si>
  <si>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</si>
  <si>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</si>
  <si>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</si>
  <si>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</si>
  <si>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</si>
  <si>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</si>
  <si>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</si>
  <si>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</si>
  <si>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</si>
  <si>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</si>
  <si>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</si>
  <si>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</si>
  <si>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</si>
  <si>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</si>
  <si>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</si>
  <si>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</si>
  <si>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</si>
  <si>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</si>
  <si>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</si>
  <si>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</si>
  <si>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</si>
  <si>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</si>
  <si>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</si>
  <si>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</si>
  <si>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</si>
  <si>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</si>
  <si>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</si>
  <si>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</si>
  <si>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</si>
  <si>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</si>
  <si>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</si>
  <si>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</si>
  <si>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</si>
  <si>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</si>
  <si>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</si>
  <si>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</si>
  <si>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</si>
  <si>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</si>
  <si>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</si>
  <si>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</si>
  <si>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</si>
  <si>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</si>
  <si>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</si>
  <si>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</si>
  <si>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</si>
  <si>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</si>
  <si>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</si>
  <si>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</si>
  <si>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</si>
  <si>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</si>
  <si>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</si>
  <si>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</si>
  <si>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</si>
  <si>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</si>
  <si>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</si>
  <si>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</si>
  <si>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</si>
  <si>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</si>
  <si>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</si>
  <si>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</si>
  <si>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</si>
  <si>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</si>
  <si>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</si>
  <si>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</si>
  <si>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</si>
  <si>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</si>
  <si>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</si>
  <si>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</si>
  <si>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</si>
  <si>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</si>
  <si>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</si>
  <si>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</si>
  <si>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</si>
  <si>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</si>
  <si>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</si>
  <si>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</si>
  <si>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</si>
  <si>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</si>
  <si>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</si>
  <si>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</si>
  <si>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</si>
  <si>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</si>
  <si>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</si>
  <si>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</si>
  <si>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</si>
  <si>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</si>
  <si>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</si>
  <si>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</si>
  <si>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</si>
  <si>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</si>
  <si>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</si>
  <si>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</si>
  <si>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</si>
  <si>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</si>
  <si>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</si>
  <si>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</si>
  <si>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</si>
  <si>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</si>
  <si>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</si>
  <si>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</si>
  <si>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</si>
  <si>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</si>
  <si>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</si>
  <si>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</si>
  <si>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</si>
  <si>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</si>
  <si>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</si>
  <si>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</si>
  <si>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</si>
  <si>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</si>
  <si>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</si>
  <si>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</si>
  <si>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</si>
  <si>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</si>
  <si>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</si>
  <si>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</si>
  <si>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</si>
  <si>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</si>
  <si>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</si>
  <si>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</si>
  <si>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</si>
  <si>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</si>
  <si>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</si>
  <si>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</si>
  <si>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</si>
  <si>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</si>
  <si>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</si>
  <si>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</si>
  <si>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</si>
  <si>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</si>
  <si>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</si>
  <si>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</si>
  <si>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</si>
  <si>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</si>
  <si>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</si>
  <si>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</si>
  <si>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</si>
  <si>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</si>
  <si>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</si>
  <si>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</si>
  <si>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</si>
  <si>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</si>
  <si>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</si>
  <si>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</si>
  <si>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</si>
  <si>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</si>
  <si>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</si>
  <si>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</si>
  <si>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</si>
  <si>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</si>
  <si>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</si>
  <si>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</si>
  <si>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</si>
  <si>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</si>
  <si>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</si>
  <si>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</si>
  <si>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</si>
  <si>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</si>
  <si>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</si>
  <si>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</si>
  <si>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</si>
  <si>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</si>
  <si>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</si>
  <si>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</si>
  <si>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</si>
  <si>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</si>
  <si>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</si>
  <si>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</si>
  <si>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</si>
  <si>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</si>
  <si>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</si>
  <si>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</si>
  <si>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</si>
  <si>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</si>
  <si>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</si>
  <si>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</si>
  <si>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</si>
  <si>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</si>
  <si>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</si>
  <si>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</si>
  <si>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</si>
  <si>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</si>
  <si>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</si>
  <si>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</si>
  <si>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</si>
  <si>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</si>
  <si>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</si>
  <si>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</si>
  <si>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</si>
  <si>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</si>
  <si>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</si>
  <si>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</si>
  <si>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</si>
  <si>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</si>
  <si>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</si>
  <si>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</si>
  <si>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</si>
  <si>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</si>
  <si>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</si>
  <si>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</si>
  <si>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</si>
  <si>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</si>
  <si>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</si>
  <si>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</si>
  <si>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</si>
  <si>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</si>
  <si>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</si>
  <si>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</si>
  <si>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</si>
  <si>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</si>
  <si>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</si>
  <si>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</si>
  <si>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</si>
  <si>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</si>
  <si>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</si>
  <si>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</si>
  <si>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</si>
  <si>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</si>
  <si>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</si>
  <si>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</si>
  <si>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</si>
  <si>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</si>
  <si>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</si>
  <si>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</si>
  <si>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</si>
  <si>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</si>
  <si>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</si>
  <si>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</si>
  <si>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</si>
  <si>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</si>
  <si>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</si>
  <si>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</si>
  <si>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</si>
  <si>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</si>
  <si>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</si>
  <si>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</si>
  <si>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</si>
  <si>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</si>
  <si>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</si>
  <si>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</si>
  <si>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</si>
  <si>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</si>
  <si>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</si>
  <si>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</si>
  <si>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</si>
  <si>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</si>
  <si>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</si>
  <si>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</si>
  <si>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</si>
  <si>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</si>
  <si>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</si>
  <si>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</si>
  <si>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</si>
  <si>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</si>
  <si>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</si>
  <si>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</si>
  <si>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</si>
  <si>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</si>
  <si>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</si>
  <si>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</si>
  <si>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</si>
  <si>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</si>
  <si>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</si>
  <si>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</si>
  <si>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</si>
  <si>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</si>
  <si>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</si>
  <si>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</si>
  <si>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</si>
  <si>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</si>
  <si>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</si>
  <si>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</si>
  <si>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</si>
  <si>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</si>
  <si>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</si>
  <si>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</si>
  <si>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</si>
  <si>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</si>
  <si>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</si>
  <si>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</si>
  <si>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</si>
  <si>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</si>
  <si>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</si>
  <si>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</si>
  <si>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</si>
  <si>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</si>
  <si>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</si>
  <si>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</si>
  <si>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</si>
  <si>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</si>
  <si>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</si>
  <si>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</si>
  <si>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</si>
  <si>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</si>
  <si>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</si>
  <si>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</si>
  <si>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</si>
  <si>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</si>
  <si>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</si>
  <si>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</si>
  <si>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</si>
  <si>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</si>
  <si>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</si>
  <si>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</si>
  <si>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</si>
  <si>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</si>
  <si>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</si>
  <si>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</si>
  <si>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</si>
  <si>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</si>
  <si>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</si>
  <si>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</si>
  <si>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</si>
  <si>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</si>
  <si>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</si>
  <si>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</si>
  <si>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</si>
  <si>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</si>
  <si>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</si>
  <si>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</si>
  <si>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</si>
  <si>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</si>
  <si>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</si>
  <si>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</si>
  <si>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</si>
  <si>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</si>
  <si>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</si>
  <si>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</si>
  <si>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</si>
  <si>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</si>
  <si>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</si>
  <si>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</si>
  <si>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</si>
  <si>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</si>
  <si>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</si>
  <si>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</si>
  <si>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</si>
  <si>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</si>
  <si>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</si>
  <si>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</si>
  <si>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</si>
  <si>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</si>
  <si>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</si>
  <si>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</si>
  <si>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</si>
  <si>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</si>
  <si>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</si>
  <si>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</si>
  <si>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</si>
  <si>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</si>
  <si>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</si>
  <si>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</si>
  <si>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</si>
  <si>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</si>
  <si>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</si>
  <si>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</si>
  <si>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</si>
  <si>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</si>
  <si>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</si>
  <si>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</si>
  <si>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</si>
  <si>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</si>
  <si>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</si>
  <si>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</si>
  <si>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</si>
  <si>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</si>
  <si>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</si>
  <si>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</si>
  <si>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</si>
  <si>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</si>
  <si>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</si>
  <si>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</si>
  <si>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</si>
  <si>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</si>
  <si>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</si>
  <si>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</si>
  <si>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</si>
  <si>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</si>
  <si>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</si>
  <si>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</si>
  <si>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</si>
  <si>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</si>
  <si>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</si>
  <si>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</si>
  <si>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</si>
  <si>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</si>
  <si>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</si>
  <si>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</si>
  <si>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</si>
  <si>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</si>
  <si>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</si>
  <si>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</si>
  <si>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</si>
  <si>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</si>
  <si>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</si>
  <si>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</si>
  <si>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</si>
  <si>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</si>
  <si>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</si>
  <si>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</si>
  <si>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</si>
  <si>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</si>
  <si>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</si>
  <si>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</si>
  <si>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</si>
  <si>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</si>
  <si>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</si>
  <si>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</si>
  <si>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</si>
  <si>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</si>
  <si>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</si>
  <si>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</si>
  <si>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</si>
  <si>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</si>
  <si>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</si>
  <si>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</si>
  <si>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</si>
  <si>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</si>
  <si>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</si>
  <si>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</si>
  <si>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</si>
  <si>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</si>
  <si>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</si>
  <si>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</si>
  <si>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</si>
  <si>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</si>
  <si>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</si>
  <si>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</si>
  <si>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</si>
  <si>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</si>
  <si>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</si>
  <si>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</si>
  <si>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</si>
  <si>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</si>
  <si>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</si>
  <si>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</si>
  <si>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</si>
  <si>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</si>
  <si>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</si>
  <si>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</si>
  <si>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</si>
  <si>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</si>
  <si>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</si>
  <si>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</si>
  <si>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</si>
  <si>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</si>
  <si>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</si>
  <si>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</si>
  <si>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</si>
  <si>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</si>
  <si>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</si>
  <si>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</si>
  <si>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</si>
  <si>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</si>
  <si>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</si>
  <si>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</si>
  <si>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</si>
  <si>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</si>
  <si>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</si>
  <si>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</si>
  <si>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</si>
  <si>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</si>
  <si>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</si>
  <si>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</si>
  <si>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</si>
  <si>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</si>
  <si>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</si>
  <si>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</si>
  <si>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</si>
  <si>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</si>
  <si>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</si>
  <si>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</si>
  <si>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</si>
  <si>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</si>
  <si>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</si>
  <si>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</si>
  <si>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</si>
  <si>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</si>
  <si>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</si>
  <si>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</si>
  <si>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</si>
  <si>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</si>
  <si>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</si>
  <si>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</si>
  <si>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</si>
  <si>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</si>
  <si>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</si>
  <si>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</si>
  <si>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</si>
  <si>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</si>
  <si>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</si>
  <si>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</si>
  <si>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</si>
  <si>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</si>
  <si>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</si>
  <si>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</si>
  <si>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</si>
  <si>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</si>
  <si>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</si>
  <si>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</si>
  <si>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</si>
  <si>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</si>
  <si>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</si>
  <si>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</si>
  <si>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</si>
  <si>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</si>
  <si>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</si>
  <si>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</si>
  <si>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</si>
  <si>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</si>
  <si>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</si>
  <si>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</si>
  <si>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</si>
  <si>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</si>
  <si>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</si>
  <si>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</si>
  <si>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</si>
  <si>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</si>
  <si>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</si>
  <si>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</si>
  <si>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</si>
  <si>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</si>
  <si>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</si>
  <si>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</si>
  <si>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</si>
  <si>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</si>
  <si>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</si>
  <si>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</si>
  <si>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</si>
  <si>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</si>
  <si>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</si>
  <si>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</si>
  <si>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</si>
  <si>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</si>
  <si>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</si>
  <si>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</si>
  <si>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</si>
  <si>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</si>
  <si>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</si>
  <si>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</si>
  <si>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</si>
  <si>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</si>
  <si>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</si>
  <si>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</si>
  <si>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</si>
  <si>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</si>
  <si>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</si>
  <si>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</si>
  <si>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</si>
  <si>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</si>
  <si>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</si>
  <si>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</si>
  <si>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</si>
  <si>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</si>
  <si>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</si>
  <si>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</si>
  <si>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</si>
  <si>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</si>
  <si>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</si>
  <si>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</si>
  <si>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</si>
  <si>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</si>
  <si>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</si>
  <si>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</si>
  <si>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</si>
  <si>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</si>
  <si>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</si>
  <si>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</si>
  <si>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</si>
  <si>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</si>
  <si>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</si>
  <si>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</si>
  <si>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</si>
  <si>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</si>
  <si>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</si>
  <si>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</si>
  <si>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</si>
  <si>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</si>
  <si>
    <t>8-bit fraction</t>
    <phoneticPr fontId="2" type="noConversion"/>
  </si>
  <si>
    <t>10-bit fraction</t>
    <phoneticPr fontId="2" type="noConversion"/>
  </si>
  <si>
    <t>12-bit fraction</t>
    <phoneticPr fontId="2" type="noConversion"/>
  </si>
  <si>
    <t>pat60</t>
    <phoneticPr fontId="2" type="noConversion"/>
  </si>
  <si>
    <t>pat62</t>
    <phoneticPr fontId="2" type="noConversion"/>
  </si>
  <si>
    <t>pat93</t>
    <phoneticPr fontId="2" type="noConversion"/>
  </si>
  <si>
    <t>14-bit fraction</t>
    <phoneticPr fontId="2" type="noConversion"/>
  </si>
  <si>
    <t>sofftV</t>
    <phoneticPr fontId="2" type="noConversion"/>
  </si>
  <si>
    <t>token24</t>
    <phoneticPr fontId="2" type="noConversion"/>
  </si>
  <si>
    <t>token32</t>
    <phoneticPr fontId="2" type="noConversion"/>
  </si>
  <si>
    <t>token33</t>
    <phoneticPr fontId="2" type="noConversion"/>
  </si>
  <si>
    <t>token40</t>
    <phoneticPr fontId="2" type="noConversion"/>
  </si>
  <si>
    <t>token41</t>
    <phoneticPr fontId="2" type="noConversion"/>
  </si>
  <si>
    <t>token43</t>
    <phoneticPr fontId="2" type="noConversion"/>
  </si>
  <si>
    <t>token48</t>
    <phoneticPr fontId="2" type="noConversion"/>
  </si>
  <si>
    <t>token50</t>
    <phoneticPr fontId="2" type="noConversion"/>
  </si>
  <si>
    <t>token51</t>
    <phoneticPr fontId="2" type="noConversion"/>
  </si>
  <si>
    <t>token53</t>
    <phoneticPr fontId="2" type="noConversion"/>
  </si>
  <si>
    <t>token54</t>
    <phoneticPr fontId="2" type="noConversion"/>
  </si>
  <si>
    <t>token55</t>
    <phoneticPr fontId="2" type="noConversion"/>
  </si>
  <si>
    <t>token56</t>
    <phoneticPr fontId="2" type="noConversion"/>
  </si>
  <si>
    <t>token57</t>
    <phoneticPr fontId="2" type="noConversion"/>
  </si>
  <si>
    <t>token58</t>
    <phoneticPr fontId="2" type="noConversion"/>
  </si>
  <si>
    <t>token59</t>
    <phoneticPr fontId="2" type="noConversion"/>
  </si>
  <si>
    <t>token60</t>
    <phoneticPr fontId="2" type="noConversion"/>
  </si>
  <si>
    <t>token61</t>
    <phoneticPr fontId="2" type="noConversion"/>
  </si>
  <si>
    <t>token62</t>
    <phoneticPr fontId="2" type="noConversion"/>
  </si>
  <si>
    <t>token63</t>
    <phoneticPr fontId="2" type="noConversion"/>
  </si>
  <si>
    <t>19-bit fraction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</si>
</sst>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  <numFmt numFmtId="200" formatCode="0.00000000000000000000_ 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4" fillId="0" borderId="0" xfId="0" applyFont="1"/>
    <xf numFmtId="1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200" fontId="0" fillId="0" borderId="0" xfId="0" applyNumberFormat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13"/>
  <sheetViews>
    <sheetView tabSelected="1" topLeftCell="A1124" zoomScale="79" zoomScaleNormal="117" workbookViewId="0">
      <selection activeCell="C1131" sqref="C1131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27.69921875" customWidth="1"/>
    <col min="8" max="8" width="19.19921875" customWidth="1"/>
    <col min="9" max="9" width="14.69921875" customWidth="1"/>
    <col min="10" max="10" width="28.69921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2" t="s">
        <v>3089</v>
      </c>
      <c r="B1028" s="13"/>
      <c r="C1028" s="13"/>
      <c r="D1028" s="13"/>
      <c r="E1028" s="13"/>
      <c r="F1028" s="14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2" t="s">
        <v>3088</v>
      </c>
      <c r="B1041" s="13"/>
      <c r="C1041" s="13"/>
      <c r="D1041" s="13"/>
      <c r="E1041" s="13"/>
      <c r="F1041" s="13"/>
      <c r="G1041" s="14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2" t="s">
        <v>3124</v>
      </c>
      <c r="B1050" s="13"/>
      <c r="C1050" s="13"/>
      <c r="D1050" s="13"/>
      <c r="E1050" s="13"/>
      <c r="F1050" s="13"/>
      <c r="G1050" s="14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0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1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1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f>ROUNDDOWN(C1082/C1086,0)</f>
        <v>1</v>
      </c>
      <c r="D1083">
        <f>ROUNDDOWN(D1082/D1086,0)</f>
        <v>0</v>
      </c>
      <c r="E1083">
        <f>ROUNDDOWN(E1082/E1086,0)</f>
        <v>1</v>
      </c>
    </row>
    <row r="1086" spans="1:5">
      <c r="B1086" t="s">
        <v>3133</v>
      </c>
      <c r="C1086">
        <f>1/2^6</f>
        <v>1.5625E-2</v>
      </c>
      <c r="D1086">
        <f t="shared" ref="D1086:E1086" si="7">1/2^6</f>
        <v>1.5625E-2</v>
      </c>
      <c r="E1086">
        <f t="shared" si="7"/>
        <v>1.5625E-2</v>
      </c>
    </row>
    <row r="1087" spans="1:5">
      <c r="B1087" t="s">
        <v>3135</v>
      </c>
    </row>
    <row r="1089" spans="1:7">
      <c r="C1089" t="s">
        <v>3132</v>
      </c>
      <c r="D1089" t="s">
        <v>3131</v>
      </c>
      <c r="E1089" t="s">
        <v>3134</v>
      </c>
    </row>
    <row r="1090" spans="1:7">
      <c r="A1090" t="s">
        <v>3127</v>
      </c>
      <c r="B1090" t="s">
        <v>3129</v>
      </c>
      <c r="C1090">
        <v>1284742</v>
      </c>
      <c r="D1090" s="11">
        <f>ROUNDDOWN(C1090/2^16,0)</f>
        <v>19</v>
      </c>
      <c r="E1090">
        <f>ROUNDDOWN(C1090/2^14,0)</f>
        <v>78</v>
      </c>
    </row>
    <row r="1091" spans="1:7">
      <c r="A1091" t="s">
        <v>3126</v>
      </c>
      <c r="B1091" t="s">
        <v>3130</v>
      </c>
      <c r="C1091">
        <v>59855117</v>
      </c>
      <c r="D1091" s="11">
        <f>ROUNDDOWN(C1091/2^16,0)</f>
        <v>913</v>
      </c>
      <c r="E1091">
        <f>ROUNDDOWN(C1091/2^14,0)</f>
        <v>3653</v>
      </c>
    </row>
    <row r="1092" spans="1:7">
      <c r="A1092" t="s">
        <v>3128</v>
      </c>
      <c r="C1092">
        <f>C1090/C1091</f>
        <v>2.1464196619981547E-2</v>
      </c>
      <c r="D1092">
        <f>D1090/D1091</f>
        <v>2.0810514786418401E-2</v>
      </c>
      <c r="E1092">
        <f>E1090/E1091</f>
        <v>2.1352313167259787E-2</v>
      </c>
    </row>
    <row r="1093" spans="1:7">
      <c r="B1093" t="s">
        <v>3136</v>
      </c>
      <c r="C1093">
        <f>ROUNDDOWN(C1092/C1096,0)</f>
        <v>1</v>
      </c>
      <c r="D1093">
        <f t="shared" ref="D1093:E1093" si="8">ROUNDDOWN(D1092/D1096,0)</f>
        <v>1</v>
      </c>
      <c r="E1093">
        <f t="shared" si="8"/>
        <v>1</v>
      </c>
    </row>
    <row r="1096" spans="1:7">
      <c r="B1096" t="s">
        <v>3133</v>
      </c>
      <c r="C1096">
        <f>1/2^6</f>
        <v>1.5625E-2</v>
      </c>
      <c r="D1096">
        <f t="shared" ref="D1096:E1096" si="9">1/2^6</f>
        <v>1.5625E-2</v>
      </c>
      <c r="E1096">
        <f t="shared" si="9"/>
        <v>1.5625E-2</v>
      </c>
    </row>
    <row r="1097" spans="1:7">
      <c r="B1097" t="s">
        <v>3135</v>
      </c>
    </row>
    <row r="1099" spans="1:7">
      <c r="C1099" t="s">
        <v>3132</v>
      </c>
      <c r="D1099" t="s">
        <v>3131</v>
      </c>
      <c r="E1099" t="s">
        <v>3134</v>
      </c>
      <c r="F1099" t="s">
        <v>3137</v>
      </c>
      <c r="G1099" t="s">
        <v>3138</v>
      </c>
    </row>
    <row r="1100" spans="1:7">
      <c r="A1100" t="s">
        <v>3127</v>
      </c>
      <c r="B1100" t="s">
        <v>3129</v>
      </c>
      <c r="C1100">
        <v>969774</v>
      </c>
      <c r="D1100" s="11">
        <f>ROUNDDOWN(C1100/2^16,0)</f>
        <v>14</v>
      </c>
      <c r="E1100">
        <f>ROUNDDOWN(C1100/2^14,0)</f>
        <v>59</v>
      </c>
      <c r="F1100">
        <f>ROUNDDOWN(C1100/2^12,0)</f>
        <v>236</v>
      </c>
      <c r="G1100">
        <f>ROUNDDOWN(C1100/2^10,0)</f>
        <v>947</v>
      </c>
    </row>
    <row r="1101" spans="1:7">
      <c r="A1101" t="s">
        <v>3126</v>
      </c>
      <c r="B1101" t="s">
        <v>3130</v>
      </c>
      <c r="C1101">
        <v>61952269</v>
      </c>
      <c r="D1101" s="11">
        <f>ROUNDDOWN(C1101/2^16,0)</f>
        <v>945</v>
      </c>
      <c r="E1101">
        <f>ROUNDDOWN(C1101/2^14,0)</f>
        <v>3781</v>
      </c>
      <c r="F1101">
        <f>ROUNDDOWN(C1101/2^12,0)</f>
        <v>15125</v>
      </c>
      <c r="G1101">
        <f>ROUNDDOWN(C1101/2^10,0)</f>
        <v>60500</v>
      </c>
    </row>
    <row r="1102" spans="1:7">
      <c r="A1102" t="s">
        <v>3128</v>
      </c>
      <c r="C1102">
        <f>C1100/C1101</f>
        <v>1.5653567103409885E-2</v>
      </c>
      <c r="D1102">
        <f>D1100/D1101</f>
        <v>1.4814814814814815E-2</v>
      </c>
      <c r="E1102">
        <f>E1100/E1101</f>
        <v>1.5604337476857974E-2</v>
      </c>
      <c r="F1102">
        <f>F1100/F1101</f>
        <v>1.5603305785123967E-2</v>
      </c>
      <c r="G1102">
        <f>G1100/G1101</f>
        <v>1.5652892561983472E-2</v>
      </c>
    </row>
    <row r="1103" spans="1:7">
      <c r="B1103" t="s">
        <v>3136</v>
      </c>
      <c r="C1103">
        <f>ROUNDDOWN(C1102/C1106,0)</f>
        <v>1</v>
      </c>
      <c r="D1103">
        <f t="shared" ref="D1103:G1103" si="10">ROUNDDOWN(D1102/D1106,0)</f>
        <v>0</v>
      </c>
      <c r="E1103">
        <f t="shared" si="10"/>
        <v>0</v>
      </c>
      <c r="F1103">
        <f t="shared" si="10"/>
        <v>0</v>
      </c>
      <c r="G1103">
        <f t="shared" si="10"/>
        <v>1</v>
      </c>
    </row>
    <row r="1106" spans="1:8">
      <c r="B1106" t="s">
        <v>3133</v>
      </c>
      <c r="C1106">
        <f>1/2^6</f>
        <v>1.5625E-2</v>
      </c>
      <c r="D1106">
        <f t="shared" ref="D1106:G1106" si="11">1/2^6</f>
        <v>1.5625E-2</v>
      </c>
      <c r="E1106">
        <f t="shared" si="11"/>
        <v>1.5625E-2</v>
      </c>
      <c r="F1106">
        <f t="shared" si="11"/>
        <v>1.5625E-2</v>
      </c>
      <c r="G1106">
        <f t="shared" si="11"/>
        <v>1.5625E-2</v>
      </c>
    </row>
    <row r="1107" spans="1:8">
      <c r="B1107" t="s">
        <v>3135</v>
      </c>
    </row>
    <row r="1108" spans="1:8">
      <c r="A1108" t="s">
        <v>3140</v>
      </c>
    </row>
    <row r="1109" spans="1:8">
      <c r="C1109" t="s">
        <v>3132</v>
      </c>
      <c r="D1109" t="s">
        <v>3131</v>
      </c>
      <c r="E1109" t="s">
        <v>3134</v>
      </c>
      <c r="F1109" t="s">
        <v>3137</v>
      </c>
      <c r="G1109" t="s">
        <v>3138</v>
      </c>
      <c r="H1109" t="s">
        <v>3139</v>
      </c>
    </row>
    <row r="1110" spans="1:8">
      <c r="A1110" t="s">
        <v>3127</v>
      </c>
      <c r="B1110" t="s">
        <v>3129</v>
      </c>
      <c r="C1110">
        <v>1346398</v>
      </c>
      <c r="D1110" s="11">
        <f>ROUNDDOWN(C1110/2^16,0)</f>
        <v>20</v>
      </c>
      <c r="E1110">
        <f>ROUNDDOWN(C1110/2^14,0)</f>
        <v>82</v>
      </c>
      <c r="F1110">
        <f>ROUNDDOWN(C1110/2^12,0)</f>
        <v>328</v>
      </c>
      <c r="G1110">
        <f>ROUNDDOWN(C1110/2^10,0)</f>
        <v>1314</v>
      </c>
      <c r="H1110">
        <f>ROUNDDOWN(C1110/2^8,0)</f>
        <v>5259</v>
      </c>
    </row>
    <row r="1111" spans="1:8">
      <c r="A1111" t="s">
        <v>3126</v>
      </c>
      <c r="B1111" t="s">
        <v>3130</v>
      </c>
      <c r="C1111">
        <v>86141170</v>
      </c>
      <c r="D1111" s="11">
        <f>ROUNDDOWN(C1111/2^16,0)</f>
        <v>1314</v>
      </c>
      <c r="E1111">
        <f>ROUNDDOWN(C1111/2^14,0)</f>
        <v>5257</v>
      </c>
      <c r="F1111">
        <f>ROUNDDOWN(C1111/2^12,0)</f>
        <v>21030</v>
      </c>
      <c r="G1111">
        <f>ROUNDDOWN(C1111/2^10,0)</f>
        <v>84122</v>
      </c>
      <c r="H1111">
        <f>ROUNDDOWN(C1111/2^8,0)</f>
        <v>336488</v>
      </c>
    </row>
    <row r="1112" spans="1:8">
      <c r="A1112" t="s">
        <v>3128</v>
      </c>
      <c r="C1112">
        <f t="shared" ref="C1112:H1112" si="12">C1110/C1111</f>
        <v>1.5630133651539677E-2</v>
      </c>
      <c r="D1112">
        <f t="shared" si="12"/>
        <v>1.5220700152207001E-2</v>
      </c>
      <c r="E1112">
        <f t="shared" si="12"/>
        <v>1.5598249952444359E-2</v>
      </c>
      <c r="F1112">
        <f t="shared" si="12"/>
        <v>1.5596766524013315E-2</v>
      </c>
      <c r="G1112">
        <f t="shared" si="12"/>
        <v>1.5620170704453056E-2</v>
      </c>
      <c r="H1112">
        <f t="shared" si="12"/>
        <v>1.562908632700126E-2</v>
      </c>
    </row>
    <row r="1113" spans="1:8">
      <c r="B1113" t="s">
        <v>3136</v>
      </c>
      <c r="C1113">
        <f>ROUNDDOWN(C1112/C1116,0)</f>
        <v>1</v>
      </c>
      <c r="D1113">
        <f t="shared" ref="D1113:H1113" si="13">ROUNDDOWN(D1112/D1116,0)</f>
        <v>0</v>
      </c>
      <c r="E1113">
        <f t="shared" si="13"/>
        <v>0</v>
      </c>
      <c r="F1113">
        <f t="shared" si="13"/>
        <v>0</v>
      </c>
      <c r="G1113">
        <f t="shared" si="13"/>
        <v>0</v>
      </c>
      <c r="H1113">
        <f t="shared" si="13"/>
        <v>1</v>
      </c>
    </row>
    <row r="1116" spans="1:8">
      <c r="B1116" t="s">
        <v>3133</v>
      </c>
      <c r="C1116">
        <f>1/2^6</f>
        <v>1.5625E-2</v>
      </c>
      <c r="D1116">
        <f t="shared" ref="D1116:H1116" si="14">1/2^6</f>
        <v>1.5625E-2</v>
      </c>
      <c r="E1116">
        <f t="shared" si="14"/>
        <v>1.5625E-2</v>
      </c>
      <c r="F1116">
        <f t="shared" si="14"/>
        <v>1.5625E-2</v>
      </c>
      <c r="G1116">
        <f t="shared" si="14"/>
        <v>1.5625E-2</v>
      </c>
      <c r="H1116">
        <f t="shared" si="14"/>
        <v>1.5625E-2</v>
      </c>
    </row>
    <row r="1117" spans="1:8">
      <c r="B1117" t="s">
        <v>3135</v>
      </c>
    </row>
    <row r="1119" spans="1:8">
      <c r="A1119" t="s">
        <v>3141</v>
      </c>
    </row>
    <row r="1120" spans="1:8">
      <c r="C1120" t="s">
        <v>3132</v>
      </c>
      <c r="D1120" t="s">
        <v>3131</v>
      </c>
      <c r="E1120" t="s">
        <v>3134</v>
      </c>
      <c r="F1120" t="s">
        <v>3137</v>
      </c>
      <c r="G1120" t="s">
        <v>3138</v>
      </c>
      <c r="H1120" t="s">
        <v>3139</v>
      </c>
    </row>
    <row r="1121" spans="1:10">
      <c r="A1121" t="s">
        <v>3127</v>
      </c>
      <c r="B1121" t="s">
        <v>3129</v>
      </c>
      <c r="C1121">
        <v>1811776</v>
      </c>
      <c r="D1121" s="11">
        <f>ROUNDDOWN(C1121/2^16,0)</f>
        <v>27</v>
      </c>
      <c r="E1121">
        <f>ROUNDDOWN(C1121/2^14,0)</f>
        <v>110</v>
      </c>
      <c r="F1121">
        <f>ROUNDDOWN(C1121/2^12,0)</f>
        <v>442</v>
      </c>
      <c r="G1121">
        <f>ROUNDDOWN(C1121/2^10,0)</f>
        <v>1769</v>
      </c>
      <c r="H1121">
        <f>ROUNDDOWN(C1121/2^8,0)</f>
        <v>7077</v>
      </c>
    </row>
    <row r="1122" spans="1:10">
      <c r="A1122" t="s">
        <v>3126</v>
      </c>
      <c r="B1122" t="s">
        <v>3130</v>
      </c>
      <c r="C1122">
        <v>57974990</v>
      </c>
      <c r="D1122" s="11">
        <f>ROUNDDOWN(C1122/2^16,0)</f>
        <v>884</v>
      </c>
      <c r="E1122">
        <f>ROUNDDOWN(C1122/2^14,0)</f>
        <v>3538</v>
      </c>
      <c r="F1122">
        <f>ROUNDDOWN(C1122/2^12,0)</f>
        <v>14154</v>
      </c>
      <c r="G1122">
        <f>ROUNDDOWN(C1122/2^10,0)</f>
        <v>56616</v>
      </c>
      <c r="H1122">
        <f>ROUNDDOWN(C1122/2^8,0)</f>
        <v>226464</v>
      </c>
    </row>
    <row r="1123" spans="1:10">
      <c r="A1123" t="s">
        <v>3128</v>
      </c>
      <c r="C1123">
        <f t="shared" ref="C1123" si="15">C1121/C1122</f>
        <v>3.1250992885035425E-2</v>
      </c>
      <c r="D1123">
        <f t="shared" ref="D1123" si="16">D1121/D1122</f>
        <v>3.0542986425339366E-2</v>
      </c>
      <c r="E1123">
        <f t="shared" ref="E1123" si="17">E1121/E1122</f>
        <v>3.1091011871113624E-2</v>
      </c>
      <c r="F1123">
        <f t="shared" ref="F1123" si="18">F1121/F1122</f>
        <v>3.1227921435636571E-2</v>
      </c>
      <c r="G1123">
        <f t="shared" ref="G1123" si="19">G1121/G1122</f>
        <v>3.1245584287127315E-2</v>
      </c>
      <c r="H1123">
        <f t="shared" ref="H1123" si="20">H1121/H1122</f>
        <v>3.125E-2</v>
      </c>
    </row>
    <row r="1124" spans="1:10">
      <c r="B1124" t="s">
        <v>3136</v>
      </c>
      <c r="C1124">
        <f>ROUNDDOWN(C1123/C1127,0)</f>
        <v>2</v>
      </c>
      <c r="D1124">
        <f t="shared" ref="D1124:H1124" si="21">ROUNDDOWN(D1123/D1127,0)</f>
        <v>1</v>
      </c>
      <c r="E1124">
        <f t="shared" si="21"/>
        <v>1</v>
      </c>
      <c r="F1124">
        <f t="shared" si="21"/>
        <v>1</v>
      </c>
      <c r="G1124">
        <f t="shared" si="21"/>
        <v>1</v>
      </c>
      <c r="H1124">
        <f t="shared" si="21"/>
        <v>2</v>
      </c>
    </row>
    <row r="1127" spans="1:10">
      <c r="B1127" t="s">
        <v>3133</v>
      </c>
      <c r="C1127">
        <f>1/2^6</f>
        <v>1.5625E-2</v>
      </c>
      <c r="D1127">
        <f t="shared" ref="D1127:H1127" si="22">1/2^6</f>
        <v>1.5625E-2</v>
      </c>
      <c r="E1127">
        <f t="shared" si="22"/>
        <v>1.5625E-2</v>
      </c>
      <c r="F1127">
        <f t="shared" si="22"/>
        <v>1.5625E-2</v>
      </c>
      <c r="G1127">
        <f t="shared" si="22"/>
        <v>1.5625E-2</v>
      </c>
      <c r="H1127">
        <f t="shared" si="22"/>
        <v>1.5625E-2</v>
      </c>
    </row>
    <row r="1128" spans="1:10">
      <c r="A1128" t="s">
        <v>3142</v>
      </c>
    </row>
    <row r="1129" spans="1:10">
      <c r="C1129" t="s">
        <v>3132</v>
      </c>
      <c r="D1129" t="s">
        <v>3131</v>
      </c>
      <c r="E1129" t="s">
        <v>3134</v>
      </c>
      <c r="F1129" t="s">
        <v>3137</v>
      </c>
      <c r="G1129" t="s">
        <v>3138</v>
      </c>
      <c r="H1129" t="s">
        <v>3139</v>
      </c>
      <c r="I1129" t="s">
        <v>3143</v>
      </c>
      <c r="J1129" t="s">
        <v>3165</v>
      </c>
    </row>
    <row r="1130" spans="1:10">
      <c r="A1130" t="s">
        <v>3127</v>
      </c>
      <c r="B1130" t="s">
        <v>3129</v>
      </c>
      <c r="C1130">
        <v>4414669</v>
      </c>
      <c r="D1130" s="11">
        <f>ROUNDDOWN(C1130/2^16,0)</f>
        <v>67</v>
      </c>
      <c r="E1130">
        <f>ROUNDDOWN(C1130/2^14,0)</f>
        <v>269</v>
      </c>
      <c r="F1130">
        <f>ROUNDDOWN(C1130/2^12,0)</f>
        <v>1077</v>
      </c>
      <c r="G1130">
        <f>ROUNDDOWN(C1130/2^10,0)</f>
        <v>4311</v>
      </c>
      <c r="H1130">
        <f>ROUNDDOWN(C1130/2^8,0)</f>
        <v>17244</v>
      </c>
      <c r="I1130">
        <f>ROUNDDOWN(C1130/2^6,0)</f>
        <v>68979</v>
      </c>
      <c r="J1130">
        <f>ROUNDDOWN(C1130/2^1,0)</f>
        <v>2207334</v>
      </c>
    </row>
    <row r="1131" spans="1:10">
      <c r="A1131" t="s">
        <v>3126</v>
      </c>
      <c r="B1131" t="s">
        <v>3130</v>
      </c>
      <c r="C1131">
        <v>282532440</v>
      </c>
      <c r="D1131" s="11">
        <f>ROUNDDOWN(C1131/2^16,0)</f>
        <v>4311</v>
      </c>
      <c r="E1131">
        <f>ROUNDDOWN(C1131/2^14,0)</f>
        <v>17244</v>
      </c>
      <c r="F1131">
        <f>ROUNDDOWN(C1131/2^12,0)</f>
        <v>68977</v>
      </c>
      <c r="G1131">
        <f>ROUNDDOWN(C1131/2^10,0)</f>
        <v>275910</v>
      </c>
      <c r="H1131">
        <f>ROUNDDOWN(C1131/2^8,0)</f>
        <v>1103642</v>
      </c>
      <c r="I1131">
        <f>ROUNDDOWN(C1131/2^6,0)</f>
        <v>4414569</v>
      </c>
      <c r="J1131">
        <f>ROUNDDOWN(C1131/2^1,0)</f>
        <v>141266220</v>
      </c>
    </row>
    <row r="1132" spans="1:10">
      <c r="A1132" t="s">
        <v>3128</v>
      </c>
      <c r="C1132">
        <f t="shared" ref="C1132" si="23">C1130/C1131</f>
        <v>1.5625352614375893E-2</v>
      </c>
      <c r="D1132">
        <f t="shared" ref="D1132" si="24">D1130/D1131</f>
        <v>1.5541637671073997E-2</v>
      </c>
      <c r="E1132">
        <f t="shared" ref="E1132" si="25">E1130/E1131</f>
        <v>1.5599628856413824E-2</v>
      </c>
      <c r="F1132">
        <f t="shared" ref="F1132" si="26">F1130/F1131</f>
        <v>1.5613900285602448E-2</v>
      </c>
      <c r="G1132">
        <f t="shared" ref="G1132" si="27">G1130/G1131</f>
        <v>1.5624660215287594E-2</v>
      </c>
      <c r="H1132">
        <f t="shared" ref="H1132:J1132" si="28">H1130/H1131</f>
        <v>1.5624631900561958E-2</v>
      </c>
      <c r="I1132">
        <f t="shared" si="28"/>
        <v>1.5625307929267841E-2</v>
      </c>
      <c r="J1132">
        <f t="shared" si="28"/>
        <v>1.562534907495932E-2</v>
      </c>
    </row>
    <row r="1133" spans="1:10">
      <c r="B1133" t="s">
        <v>3136</v>
      </c>
      <c r="C1133">
        <f>ROUNDDOWN(C1132/C1136,0)</f>
        <v>1</v>
      </c>
      <c r="D1133">
        <f t="shared" ref="D1133:J1133" si="29">ROUNDDOWN(D1132/D1136,0)</f>
        <v>0</v>
      </c>
      <c r="E1133">
        <f t="shared" si="29"/>
        <v>0</v>
      </c>
      <c r="F1133">
        <f t="shared" si="29"/>
        <v>0</v>
      </c>
      <c r="G1133">
        <f t="shared" si="29"/>
        <v>0</v>
      </c>
      <c r="H1133">
        <f t="shared" si="29"/>
        <v>0</v>
      </c>
      <c r="I1133">
        <f t="shared" si="29"/>
        <v>1</v>
      </c>
      <c r="J1133">
        <f t="shared" si="29"/>
        <v>1</v>
      </c>
    </row>
    <row r="1136" spans="1:10">
      <c r="B1136" t="s">
        <v>3133</v>
      </c>
      <c r="C1136">
        <f>1/2^6</f>
        <v>1.5625E-2</v>
      </c>
      <c r="D1136">
        <f t="shared" ref="D1136:J1136" si="30">1/2^6</f>
        <v>1.5625E-2</v>
      </c>
      <c r="E1136">
        <f t="shared" si="30"/>
        <v>1.5625E-2</v>
      </c>
      <c r="F1136">
        <f t="shared" si="30"/>
        <v>1.5625E-2</v>
      </c>
      <c r="G1136">
        <f t="shared" si="30"/>
        <v>1.5625E-2</v>
      </c>
      <c r="H1136">
        <f t="shared" si="30"/>
        <v>1.5625E-2</v>
      </c>
      <c r="I1136">
        <f t="shared" si="30"/>
        <v>1.5625E-2</v>
      </c>
      <c r="J1136">
        <f t="shared" si="30"/>
        <v>1.5625E-2</v>
      </c>
    </row>
    <row r="1139" spans="1:10">
      <c r="J1139" s="15">
        <f>1/J1131</f>
        <v>7.0788331421340499E-9</v>
      </c>
    </row>
    <row r="1140" spans="1:10">
      <c r="A1140" t="s">
        <v>3144</v>
      </c>
      <c r="J1140">
        <f>ROUNDDOWN(1/J1131,0)</f>
        <v>0</v>
      </c>
    </row>
    <row r="1141" spans="1:10">
      <c r="A1141">
        <v>0</v>
      </c>
      <c r="D1141">
        <f>A1141*B1141</f>
        <v>0</v>
      </c>
    </row>
    <row r="1142" spans="1:10">
      <c r="A1142">
        <v>0</v>
      </c>
      <c r="D1142">
        <f t="shared" ref="D1142:D1205" si="31">A1142*B1142</f>
        <v>0</v>
      </c>
    </row>
    <row r="1143" spans="1:10">
      <c r="A1143">
        <v>0</v>
      </c>
      <c r="D1143">
        <f t="shared" si="31"/>
        <v>0</v>
      </c>
    </row>
    <row r="1144" spans="1:10">
      <c r="A1144">
        <v>0</v>
      </c>
      <c r="D1144">
        <f t="shared" si="31"/>
        <v>0</v>
      </c>
    </row>
    <row r="1145" spans="1:10">
      <c r="A1145">
        <v>0</v>
      </c>
      <c r="D1145">
        <f t="shared" si="31"/>
        <v>0</v>
      </c>
    </row>
    <row r="1146" spans="1:10">
      <c r="A1146">
        <v>0</v>
      </c>
      <c r="D1146">
        <f t="shared" si="31"/>
        <v>0</v>
      </c>
    </row>
    <row r="1147" spans="1:10">
      <c r="A1147">
        <v>0</v>
      </c>
      <c r="D1147">
        <f t="shared" si="31"/>
        <v>0</v>
      </c>
    </row>
    <row r="1148" spans="1:10">
      <c r="A1148">
        <v>0</v>
      </c>
      <c r="D1148">
        <f t="shared" si="31"/>
        <v>0</v>
      </c>
    </row>
    <row r="1149" spans="1:10">
      <c r="D1149">
        <f t="shared" si="31"/>
        <v>0</v>
      </c>
    </row>
    <row r="1150" spans="1:10">
      <c r="A1150">
        <v>0</v>
      </c>
      <c r="B1150">
        <v>-6</v>
      </c>
      <c r="D1150">
        <f t="shared" si="31"/>
        <v>0</v>
      </c>
    </row>
    <row r="1151" spans="1:10">
      <c r="A1151">
        <v>0</v>
      </c>
      <c r="D1151">
        <f t="shared" si="31"/>
        <v>0</v>
      </c>
    </row>
    <row r="1152" spans="1:10">
      <c r="A1152">
        <v>0</v>
      </c>
      <c r="D1152">
        <f t="shared" si="31"/>
        <v>0</v>
      </c>
    </row>
    <row r="1153" spans="1:4">
      <c r="A1153">
        <v>0</v>
      </c>
      <c r="D1153">
        <f t="shared" si="31"/>
        <v>0</v>
      </c>
    </row>
    <row r="1154" spans="1:4">
      <c r="A1154">
        <v>0</v>
      </c>
      <c r="D1154">
        <f t="shared" si="31"/>
        <v>0</v>
      </c>
    </row>
    <row r="1155" spans="1:4">
      <c r="A1155">
        <v>1</v>
      </c>
      <c r="B1155">
        <v>9</v>
      </c>
      <c r="D1155">
        <f t="shared" si="31"/>
        <v>9</v>
      </c>
    </row>
    <row r="1156" spans="1:4">
      <c r="A1156">
        <v>0</v>
      </c>
      <c r="D1156">
        <f t="shared" si="31"/>
        <v>0</v>
      </c>
    </row>
    <row r="1157" spans="1:4">
      <c r="A1157">
        <v>0</v>
      </c>
      <c r="D1157">
        <f t="shared" si="31"/>
        <v>0</v>
      </c>
    </row>
    <row r="1158" spans="1:4">
      <c r="D1158">
        <f t="shared" si="31"/>
        <v>0</v>
      </c>
    </row>
    <row r="1159" spans="1:4">
      <c r="A1159">
        <v>0</v>
      </c>
      <c r="D1159">
        <f t="shared" si="31"/>
        <v>0</v>
      </c>
    </row>
    <row r="1160" spans="1:4">
      <c r="A1160">
        <v>0</v>
      </c>
      <c r="D1160">
        <f t="shared" si="31"/>
        <v>0</v>
      </c>
    </row>
    <row r="1161" spans="1:4">
      <c r="A1161">
        <v>0</v>
      </c>
      <c r="D1161">
        <f t="shared" si="31"/>
        <v>0</v>
      </c>
    </row>
    <row r="1162" spans="1:4">
      <c r="A1162">
        <v>0</v>
      </c>
      <c r="D1162">
        <f t="shared" si="31"/>
        <v>0</v>
      </c>
    </row>
    <row r="1163" spans="1:4">
      <c r="A1163">
        <v>0</v>
      </c>
      <c r="D1163">
        <f t="shared" si="31"/>
        <v>0</v>
      </c>
    </row>
    <row r="1164" spans="1:4">
      <c r="A1164">
        <v>0</v>
      </c>
      <c r="D1164">
        <f t="shared" si="31"/>
        <v>0</v>
      </c>
    </row>
    <row r="1165" spans="1:4">
      <c r="A1165">
        <v>0</v>
      </c>
      <c r="D1165">
        <f t="shared" si="31"/>
        <v>0</v>
      </c>
    </row>
    <row r="1166" spans="1:4">
      <c r="A1166">
        <v>0</v>
      </c>
      <c r="D1166">
        <f t="shared" si="31"/>
        <v>0</v>
      </c>
    </row>
    <row r="1167" spans="1:4">
      <c r="D1167">
        <f t="shared" si="31"/>
        <v>0</v>
      </c>
    </row>
    <row r="1168" spans="1:4">
      <c r="A1168">
        <v>1</v>
      </c>
      <c r="B1168">
        <v>3</v>
      </c>
      <c r="C1168" t="s">
        <v>3145</v>
      </c>
      <c r="D1168">
        <f t="shared" si="31"/>
        <v>3</v>
      </c>
    </row>
    <row r="1169" spans="1:4">
      <c r="A1169">
        <v>0</v>
      </c>
      <c r="B1169">
        <v>17</v>
      </c>
      <c r="D1169">
        <f t="shared" si="31"/>
        <v>0</v>
      </c>
    </row>
    <row r="1170" spans="1:4">
      <c r="A1170">
        <v>0</v>
      </c>
      <c r="B1170">
        <v>-12</v>
      </c>
      <c r="D1170">
        <f t="shared" si="31"/>
        <v>0</v>
      </c>
    </row>
    <row r="1171" spans="1:4">
      <c r="A1171">
        <v>0</v>
      </c>
      <c r="B1171">
        <v>36</v>
      </c>
      <c r="D1171">
        <f t="shared" si="31"/>
        <v>0</v>
      </c>
    </row>
    <row r="1172" spans="1:4">
      <c r="A1172">
        <v>0</v>
      </c>
      <c r="B1172">
        <v>-5</v>
      </c>
      <c r="D1172">
        <f t="shared" si="31"/>
        <v>0</v>
      </c>
    </row>
    <row r="1173" spans="1:4">
      <c r="A1173">
        <v>1</v>
      </c>
      <c r="B1173">
        <v>7</v>
      </c>
      <c r="D1173">
        <f t="shared" si="31"/>
        <v>7</v>
      </c>
    </row>
    <row r="1174" spans="1:4">
      <c r="A1174">
        <v>0</v>
      </c>
      <c r="B1174">
        <v>-44</v>
      </c>
      <c r="D1174">
        <f t="shared" si="31"/>
        <v>0</v>
      </c>
    </row>
    <row r="1175" spans="1:4">
      <c r="A1175">
        <v>0</v>
      </c>
      <c r="B1175">
        <v>9</v>
      </c>
      <c r="D1175">
        <f t="shared" si="31"/>
        <v>0</v>
      </c>
    </row>
    <row r="1176" spans="1:4">
      <c r="D1176">
        <f t="shared" si="31"/>
        <v>0</v>
      </c>
    </row>
    <row r="1177" spans="1:4">
      <c r="A1177">
        <v>1</v>
      </c>
      <c r="B1177">
        <v>42</v>
      </c>
      <c r="C1177" t="s">
        <v>3146</v>
      </c>
      <c r="D1177">
        <f t="shared" si="31"/>
        <v>42</v>
      </c>
    </row>
    <row r="1178" spans="1:4">
      <c r="A1178">
        <v>3</v>
      </c>
      <c r="B1178">
        <v>-1</v>
      </c>
      <c r="C1178" t="s">
        <v>3147</v>
      </c>
      <c r="D1178">
        <f t="shared" si="31"/>
        <v>-3</v>
      </c>
    </row>
    <row r="1179" spans="1:4">
      <c r="A1179">
        <v>0</v>
      </c>
      <c r="B1179">
        <v>-2</v>
      </c>
      <c r="D1179">
        <f t="shared" si="31"/>
        <v>0</v>
      </c>
    </row>
    <row r="1180" spans="1:4">
      <c r="A1180">
        <v>0</v>
      </c>
      <c r="D1180">
        <f t="shared" si="31"/>
        <v>0</v>
      </c>
    </row>
    <row r="1181" spans="1:4">
      <c r="A1181">
        <v>0</v>
      </c>
      <c r="D1181">
        <f t="shared" si="31"/>
        <v>0</v>
      </c>
    </row>
    <row r="1182" spans="1:4">
      <c r="A1182">
        <v>0</v>
      </c>
      <c r="D1182">
        <f t="shared" si="31"/>
        <v>0</v>
      </c>
    </row>
    <row r="1183" spans="1:4">
      <c r="A1183">
        <v>0</v>
      </c>
      <c r="D1183">
        <f t="shared" si="31"/>
        <v>0</v>
      </c>
    </row>
    <row r="1184" spans="1:4">
      <c r="A1184">
        <v>0</v>
      </c>
      <c r="D1184">
        <f t="shared" si="31"/>
        <v>0</v>
      </c>
    </row>
    <row r="1185" spans="1:4">
      <c r="D1185">
        <f t="shared" si="31"/>
        <v>0</v>
      </c>
    </row>
    <row r="1186" spans="1:4">
      <c r="A1186">
        <v>0</v>
      </c>
      <c r="C1186" t="s">
        <v>3148</v>
      </c>
      <c r="D1186">
        <f t="shared" si="31"/>
        <v>0</v>
      </c>
    </row>
    <row r="1187" spans="1:4">
      <c r="A1187">
        <v>1</v>
      </c>
      <c r="B1187">
        <v>-4</v>
      </c>
      <c r="C1187" t="s">
        <v>3149</v>
      </c>
      <c r="D1187">
        <f t="shared" si="31"/>
        <v>-4</v>
      </c>
    </row>
    <row r="1188" spans="1:4">
      <c r="A1188">
        <v>0</v>
      </c>
      <c r="D1188">
        <f t="shared" si="31"/>
        <v>0</v>
      </c>
    </row>
    <row r="1189" spans="1:4">
      <c r="A1189">
        <v>1</v>
      </c>
      <c r="B1189">
        <v>19</v>
      </c>
      <c r="C1189" t="s">
        <v>3150</v>
      </c>
      <c r="D1189">
        <f t="shared" si="31"/>
        <v>19</v>
      </c>
    </row>
    <row r="1190" spans="1:4">
      <c r="A1190">
        <v>0</v>
      </c>
      <c r="D1190">
        <f t="shared" si="31"/>
        <v>0</v>
      </c>
    </row>
    <row r="1191" spans="1:4">
      <c r="A1191">
        <v>0</v>
      </c>
      <c r="D1191">
        <f t="shared" si="31"/>
        <v>0</v>
      </c>
    </row>
    <row r="1192" spans="1:4">
      <c r="A1192">
        <v>0</v>
      </c>
      <c r="D1192">
        <f t="shared" si="31"/>
        <v>0</v>
      </c>
    </row>
    <row r="1193" spans="1:4">
      <c r="A1193">
        <v>0</v>
      </c>
      <c r="D1193">
        <f t="shared" si="31"/>
        <v>0</v>
      </c>
    </row>
    <row r="1194" spans="1:4">
      <c r="D1194">
        <f t="shared" si="31"/>
        <v>0</v>
      </c>
    </row>
    <row r="1195" spans="1:4">
      <c r="A1195">
        <v>2</v>
      </c>
      <c r="B1195">
        <v>-2</v>
      </c>
      <c r="C1195" t="s">
        <v>3151</v>
      </c>
      <c r="D1195">
        <f t="shared" si="31"/>
        <v>-4</v>
      </c>
    </row>
    <row r="1196" spans="1:4">
      <c r="A1196">
        <v>0</v>
      </c>
      <c r="D1196">
        <f t="shared" si="31"/>
        <v>0</v>
      </c>
    </row>
    <row r="1197" spans="1:4">
      <c r="A1197">
        <v>5</v>
      </c>
      <c r="B1197">
        <v>-19</v>
      </c>
      <c r="C1197" t="s">
        <v>3152</v>
      </c>
      <c r="D1197">
        <f t="shared" si="31"/>
        <v>-95</v>
      </c>
    </row>
    <row r="1198" spans="1:4">
      <c r="A1198">
        <v>1</v>
      </c>
      <c r="B1198">
        <v>-2</v>
      </c>
      <c r="C1198" t="s">
        <v>3153</v>
      </c>
      <c r="D1198">
        <f t="shared" si="31"/>
        <v>-2</v>
      </c>
    </row>
    <row r="1199" spans="1:4">
      <c r="A1199">
        <v>0</v>
      </c>
      <c r="D1199">
        <f t="shared" si="31"/>
        <v>0</v>
      </c>
    </row>
    <row r="1200" spans="1:4">
      <c r="A1200">
        <v>1</v>
      </c>
      <c r="B1200">
        <v>-1</v>
      </c>
      <c r="C1200" t="s">
        <v>3154</v>
      </c>
      <c r="D1200">
        <f t="shared" si="31"/>
        <v>-1</v>
      </c>
    </row>
    <row r="1201" spans="1:4">
      <c r="A1201">
        <v>2</v>
      </c>
      <c r="B1201">
        <v>-9</v>
      </c>
      <c r="C1201" t="s">
        <v>3155</v>
      </c>
      <c r="D1201">
        <f t="shared" si="31"/>
        <v>-18</v>
      </c>
    </row>
    <row r="1202" spans="1:4">
      <c r="A1202">
        <v>2</v>
      </c>
      <c r="B1202">
        <v>-6</v>
      </c>
      <c r="C1202" t="s">
        <v>3156</v>
      </c>
      <c r="D1202">
        <f t="shared" si="31"/>
        <v>-12</v>
      </c>
    </row>
    <row r="1203" spans="1:4">
      <c r="D1203">
        <f t="shared" si="31"/>
        <v>0</v>
      </c>
    </row>
    <row r="1204" spans="1:4">
      <c r="A1204">
        <v>2</v>
      </c>
      <c r="B1204">
        <v>-14</v>
      </c>
      <c r="C1204" t="s">
        <v>3157</v>
      </c>
      <c r="D1204">
        <f t="shared" si="31"/>
        <v>-28</v>
      </c>
    </row>
    <row r="1205" spans="1:4">
      <c r="A1205">
        <v>1</v>
      </c>
      <c r="B1205">
        <v>-2</v>
      </c>
      <c r="C1205" t="s">
        <v>3158</v>
      </c>
      <c r="D1205">
        <f t="shared" si="31"/>
        <v>-2</v>
      </c>
    </row>
    <row r="1206" spans="1:4">
      <c r="A1206">
        <v>2</v>
      </c>
      <c r="B1206">
        <v>-18</v>
      </c>
      <c r="C1206" t="s">
        <v>3159</v>
      </c>
      <c r="D1206">
        <f t="shared" ref="D1206:D1211" si="32">A1206*B1206</f>
        <v>-36</v>
      </c>
    </row>
    <row r="1207" spans="1:4">
      <c r="A1207">
        <v>1</v>
      </c>
      <c r="B1207">
        <v>-14</v>
      </c>
      <c r="C1207" t="s">
        <v>3160</v>
      </c>
      <c r="D1207">
        <f t="shared" si="32"/>
        <v>-14</v>
      </c>
    </row>
    <row r="1208" spans="1:4">
      <c r="A1208">
        <v>1</v>
      </c>
      <c r="B1208">
        <v>-8</v>
      </c>
      <c r="C1208" t="s">
        <v>3161</v>
      </c>
      <c r="D1208">
        <f t="shared" si="32"/>
        <v>-8</v>
      </c>
    </row>
    <row r="1209" spans="1:4">
      <c r="A1209">
        <v>2</v>
      </c>
      <c r="B1209">
        <v>-5</v>
      </c>
      <c r="C1209" t="s">
        <v>3162</v>
      </c>
      <c r="D1209">
        <f t="shared" si="32"/>
        <v>-10</v>
      </c>
    </row>
    <row r="1210" spans="1:4">
      <c r="A1210">
        <v>1</v>
      </c>
      <c r="B1210">
        <v>-5</v>
      </c>
      <c r="C1210" t="s">
        <v>3163</v>
      </c>
      <c r="D1210">
        <f t="shared" si="32"/>
        <v>-5</v>
      </c>
    </row>
    <row r="1211" spans="1:4">
      <c r="A1211">
        <v>2</v>
      </c>
      <c r="B1211">
        <v>-1</v>
      </c>
      <c r="C1211" t="s">
        <v>3164</v>
      </c>
      <c r="D1211">
        <f t="shared" si="32"/>
        <v>-2</v>
      </c>
    </row>
    <row r="1213" spans="1:4">
      <c r="D1213">
        <f>SUM(D1141:D1211)</f>
        <v>-164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2025-11-24T07:18:40Z</dcterms:modified>
</cp:coreProperties>
</file>